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ceu15_irap_rutgers_edu/Documents/My Portfolio/Projects/Employee Listening &amp; Organizational Health Analytics/employee-listening-organizational-health/data/reference/"/>
    </mc:Choice>
  </mc:AlternateContent>
  <xr:revisionPtr revIDLastSave="1196" documentId="8_{BA8C1910-4DA2-C248-8F81-B967837EF239}" xr6:coauthVersionLast="47" xr6:coauthVersionMax="47" xr10:uidLastSave="{328FEFB8-9CDA-0240-AB37-48D6959EA49A}"/>
  <bookViews>
    <workbookView xWindow="20" yWindow="680" windowWidth="30240" windowHeight="18980" activeTab="4" xr2:uid="{14044388-23AD-764D-8B50-C21347813325}"/>
  </bookViews>
  <sheets>
    <sheet name="Construct_Item_Map" sheetId="1" r:id="rId1"/>
    <sheet name="Data_Dictionary" sheetId="2" r:id="rId2"/>
    <sheet name="Response_Scales" sheetId="3" r:id="rId3"/>
    <sheet name="Population_Spec" sheetId="5" r:id="rId4"/>
    <sheet name="Change_Lo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5" l="1"/>
  <c r="G93" i="5"/>
  <c r="G94" i="5"/>
  <c r="G95" i="5"/>
  <c r="G96" i="5"/>
  <c r="E89" i="5"/>
  <c r="E88" i="5"/>
  <c r="E87" i="5"/>
  <c r="E81" i="5"/>
  <c r="E82" i="5"/>
  <c r="E83" i="5"/>
  <c r="E84" i="5"/>
  <c r="E85" i="5"/>
  <c r="E86" i="5"/>
  <c r="B54" i="5"/>
  <c r="C54" i="5"/>
  <c r="B46" i="5"/>
  <c r="C46" i="5"/>
  <c r="B39" i="5"/>
  <c r="C39" i="5"/>
  <c r="B30" i="5"/>
  <c r="C30" i="5"/>
  <c r="C21" i="5"/>
  <c r="D21" i="5"/>
  <c r="A29" i="2"/>
  <c r="C2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" i="2"/>
  <c r="G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tc={FA7924C1-D945-C540-B336-05A717601B6C}</author>
  </authors>
  <commentList>
    <comment ref="D28" authorId="0" shapeId="0" xr:uid="{FA7924C1-D945-C540-B336-05A717601B6C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negatively related to leaving but is phrased positively for staying. Don't switch to confusing reverse-coding wording unless I discover a strong methodological reason.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tc={901B0B49-E70E-B940-883C-5DC331B18794}</author>
  </authors>
  <commentList>
    <comment ref="J45" authorId="0" shapeId="0" xr:uid="{901B0B49-E70E-B940-883C-5DC331B187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Response rate = Number of usable responses / Number of eligible invited employees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tc={DF1D91B4-679C-1A4E-AC67-285AB268DA4D}</author>
    <author>tc={AC3A2F3C-7BE2-2841-878F-1B39B9A3882D}</author>
  </authors>
  <commentList>
    <comment ref="A10" authorId="0" shapeId="0" xr:uid="{DF1D91B4-679C-1A4E-AC67-285AB268DA4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Intentionally uneven department sizes makes it more realistic</t>
      </text>
    </comment>
    <comment ref="A56" authorId="1" shapeId="0" xr:uid="{AC3A2F3C-7BE2-2841-878F-1B39B9A3882D}">
      <text>
        <t>[Threaded comment]
Your version of Excel allows you to read this threaded comment; however, any edits to it will get removed if the file is opened in a newer version of Excel. Learn more: https://go.microsoft.com/fwlink/?linkid=870924
Comment:
    everyone at the Manager level is not necessarily a people manager. This serves as an assumptions table.</t>
      </text>
    </comment>
  </commentList>
</comments>
</file>

<file path=xl/sharedStrings.xml><?xml version="1.0" encoding="utf-8"?>
<sst xmlns="http://schemas.openxmlformats.org/spreadsheetml/2006/main" count="819" uniqueCount="354">
  <si>
    <t>Variable name</t>
  </si>
  <si>
    <t>Construct</t>
  </si>
  <si>
    <t>Facet</t>
  </si>
  <si>
    <t>Survey item</t>
  </si>
  <si>
    <t>Response scale</t>
  </si>
  <si>
    <t>Reverse-coded</t>
  </si>
  <si>
    <t>Include in final survey</t>
  </si>
  <si>
    <t>Notes</t>
  </si>
  <si>
    <t>Description</t>
  </si>
  <si>
    <t>Engagement</t>
  </si>
  <si>
    <t>Energy</t>
  </si>
  <si>
    <t>Accomplishment</t>
  </si>
  <si>
    <t>Advocacy</t>
  </si>
  <si>
    <t>Manager effectiveness</t>
  </si>
  <si>
    <t>Expectations</t>
  </si>
  <si>
    <t>Feedback</t>
  </si>
  <si>
    <t>Support</t>
  </si>
  <si>
    <t>Fairness</t>
  </si>
  <si>
    <t>Psychological safety</t>
  </si>
  <si>
    <t>Speaking up</t>
  </si>
  <si>
    <t>Admitting mistakes</t>
  </si>
  <si>
    <t>Asking for help</t>
  </si>
  <si>
    <t>Sharing different views</t>
  </si>
  <si>
    <t>Growth and development</t>
  </si>
  <si>
    <t>Skill development</t>
  </si>
  <si>
    <t>Career clarity</t>
  </si>
  <si>
    <t>Development support</t>
  </si>
  <si>
    <t>Future opportunities</t>
  </si>
  <si>
    <t>Workload sustainability</t>
  </si>
  <si>
    <t>Manageability</t>
  </si>
  <si>
    <t>Time</t>
  </si>
  <si>
    <t>Staffing/resources</t>
  </si>
  <si>
    <t>Sustainable pace</t>
  </si>
  <si>
    <t>Belonging</t>
  </si>
  <si>
    <t>Inclusion</t>
  </si>
  <si>
    <t>Respect</t>
  </si>
  <si>
    <t>Authenticity</t>
  </si>
  <si>
    <t>Connection</t>
  </si>
  <si>
    <t>Intent to stay</t>
  </si>
  <si>
    <t>Motivation</t>
  </si>
  <si>
    <t>eng_01</t>
  </si>
  <si>
    <t>Total</t>
  </si>
  <si>
    <t>eng_02</t>
  </si>
  <si>
    <t>eng_03</t>
  </si>
  <si>
    <t>eng_04</t>
  </si>
  <si>
    <t>psy_01</t>
  </si>
  <si>
    <t>psy_02</t>
  </si>
  <si>
    <t>psy_03</t>
  </si>
  <si>
    <t>psy_04</t>
  </si>
  <si>
    <t>grwth_01</t>
  </si>
  <si>
    <t>grwth_02</t>
  </si>
  <si>
    <t>grwth_03</t>
  </si>
  <si>
    <t>grwth_04</t>
  </si>
  <si>
    <t>wrk_01</t>
  </si>
  <si>
    <t>wrk_02</t>
  </si>
  <si>
    <t>wrk_03</t>
  </si>
  <si>
    <t>wrk_04</t>
  </si>
  <si>
    <t>blg_01</t>
  </si>
  <si>
    <t>blg_02</t>
  </si>
  <si>
    <t>blg_03</t>
  </si>
  <si>
    <t>blg_04</t>
  </si>
  <si>
    <t>its_01</t>
  </si>
  <si>
    <t>its_02</t>
  </si>
  <si>
    <t>No</t>
  </si>
  <si>
    <t>Yes</t>
  </si>
  <si>
    <t>I would recommend this organization as a good place to work.</t>
  </si>
  <si>
    <t>My work gives me a sense of accomplishment.</t>
  </si>
  <si>
    <t>I feel energized by the work I do.</t>
  </si>
  <si>
    <t>I feel motivated to do my best work.</t>
  </si>
  <si>
    <t>My manager communicates expectations clearly.</t>
  </si>
  <si>
    <t>My manager provides feedback that helps me improve.</t>
  </si>
  <si>
    <t>My manager supports me when I encounter challenges.</t>
  </si>
  <si>
    <t>My manager treats team members fairly.</t>
  </si>
  <si>
    <t>I can raise concerns on my team without fear of negative consequences.</t>
  </si>
  <si>
    <t>People on my team can acknowledge mistakes openly.</t>
  </si>
  <si>
    <t>I feel comfortable asking members of my team for help.</t>
  </si>
  <si>
    <t>Different perspectives are welcomed on my team.</t>
  </si>
  <si>
    <t>I have opportunities to develop skills that are relevant to my work.</t>
  </si>
  <si>
    <t>I understand the career opportunities available to me at this organization.</t>
  </si>
  <si>
    <t>I receive support for my professional development.</t>
  </si>
  <si>
    <t>I can see opportunities for my continued growth at this organization.</t>
  </si>
  <si>
    <t>My workload is manageable.</t>
  </si>
  <si>
    <t>I have enough time to complete my work effectively.</t>
  </si>
  <si>
    <t>I have access to the resources needed to meet my work responsibilities.</t>
  </si>
  <si>
    <t>I can maintain my current work pace without becoming overwhelmed.</t>
  </si>
  <si>
    <t>I feel respected by the people I work with.</t>
  </si>
  <si>
    <t>I feel comfortable being myself at work.</t>
  </si>
  <si>
    <t>I feel connected to the people in this organization.</t>
  </si>
  <si>
    <t>I expect to still be working at this organization one year from now.</t>
  </si>
  <si>
    <t>Overall</t>
  </si>
  <si>
    <t>Overall, I have a positive experience working at this organization.</t>
  </si>
  <si>
    <t>Open-ended</t>
  </si>
  <si>
    <t>What is one thing this organization could do to improve your experience at work?</t>
  </si>
  <si>
    <t>mgr_01</t>
  </si>
  <si>
    <t>mgr_02</t>
  </si>
  <si>
    <t>mgr_03</t>
  </si>
  <si>
    <t>mgr_04</t>
  </si>
  <si>
    <t>Expected continued employment</t>
  </si>
  <si>
    <t>I feel included at this organization.</t>
  </si>
  <si>
    <t>I would prefer to continue working at this organization rather than seek employment elsewhere.</t>
  </si>
  <si>
    <t>Review possible overlap with organizational commitment or belonging.</t>
  </si>
  <si>
    <t>Compare with grwth_04 for possible redundancy.</t>
  </si>
  <si>
    <t>Review whether this loads with workload or a broader enablement/resources factor.</t>
  </si>
  <si>
    <t>Timeframe intentionally fixed at one year</t>
  </si>
  <si>
    <t>Scale ID</t>
  </si>
  <si>
    <t>Value</t>
  </si>
  <si>
    <t>Response label</t>
  </si>
  <si>
    <t>Response category</t>
  </si>
  <si>
    <t>agreement_5</t>
  </si>
  <si>
    <t>Strongly disagree</t>
  </si>
  <si>
    <t>Disagree</t>
  </si>
  <si>
    <t>Neither agree nor disagree</t>
  </si>
  <si>
    <t>Agree</t>
  </si>
  <si>
    <t>Strongly agree</t>
  </si>
  <si>
    <t>Unfavorable</t>
  </si>
  <si>
    <t>Neutral</t>
  </si>
  <si>
    <t>Favorable</t>
  </si>
  <si>
    <t>Version</t>
  </si>
  <si>
    <t>Date</t>
  </si>
  <si>
    <t>Item or sheet</t>
  </si>
  <si>
    <t>Change</t>
  </si>
  <si>
    <t>Reason</t>
  </si>
  <si>
    <t>Construct_Item_Map</t>
  </si>
  <si>
    <t>Created initial item pool</t>
  </si>
  <si>
    <t>Revised intent-to-stay wording</t>
  </si>
  <si>
    <t>Removed potentially confusing frequency wording</t>
  </si>
  <si>
    <t>Table</t>
  </si>
  <si>
    <t>Display label</t>
  </si>
  <si>
    <t>Data type</t>
  </si>
  <si>
    <t xml:space="preserve">Allowed values </t>
  </si>
  <si>
    <t>Public reporting status</t>
  </si>
  <si>
    <t>open_text</t>
  </si>
  <si>
    <t>N/A</t>
  </si>
  <si>
    <t>comment_01</t>
  </si>
  <si>
    <t>Preference to remain</t>
  </si>
  <si>
    <t>ovl_01</t>
  </si>
  <si>
    <t>Initial survey development</t>
  </si>
  <si>
    <t>Missing-value rule</t>
  </si>
  <si>
    <t>Source</t>
  </si>
  <si>
    <t>survey_responses</t>
  </si>
  <si>
    <t>1, 2, 3, 4, 5</t>
  </si>
  <si>
    <t>Free-text response</t>
  </si>
  <si>
    <t>Blank or NA when unanswered</t>
  </si>
  <si>
    <t>Survey response</t>
  </si>
  <si>
    <t>Aggregated only</t>
  </si>
  <si>
    <t>Excluded from public row-level data</t>
  </si>
  <si>
    <t>Integer</t>
  </si>
  <si>
    <t>Optional overall benchmark; not included automatically in a scale</t>
  </si>
  <si>
    <t>Not reverse-coded</t>
  </si>
  <si>
    <t>Intent-to-stay outcome; not reverse-coded</t>
  </si>
  <si>
    <t>Synthetic comments only; themes may be reported in aggregate</t>
  </si>
  <si>
    <t>Text</t>
  </si>
  <si>
    <t>employee_population</t>
  </si>
  <si>
    <t>employee_id</t>
  </si>
  <si>
    <t>Employee ID</t>
  </si>
  <si>
    <t>EMP0001–EMP3600</t>
  </si>
  <si>
    <t>Never missing</t>
  </si>
  <si>
    <t>Generated</t>
  </si>
  <si>
    <t>Excluded</t>
  </si>
  <si>
    <t xml:space="preserve">Internal linkage field only </t>
  </si>
  <si>
    <t>survey_wave</t>
  </si>
  <si>
    <t>Survey wave</t>
  </si>
  <si>
    <t>Wave 1, Wave 2</t>
  </si>
  <si>
    <t>Public</t>
  </si>
  <si>
    <t>One employee may appear in both waves</t>
  </si>
  <si>
    <t>survey_date</t>
  </si>
  <si>
    <t>Survey launch date</t>
  </si>
  <si>
    <t>Valid date</t>
  </si>
  <si>
    <t>Same date for all records within a wave</t>
  </si>
  <si>
    <t>business_unit</t>
  </si>
  <si>
    <t>Business unit</t>
  </si>
  <si>
    <t>Client Operations, Technology and Product, Corporate Services</t>
  </si>
  <si>
    <t>Used for subgroup reporting</t>
  </si>
  <si>
    <t>department</t>
  </si>
  <si>
    <t>Department</t>
  </si>
  <si>
    <t>Customer Support, Implementation, Service Delivery, Engineering, Data and Analytics, Product, Human Resources, Finance, Sales and Marketing</t>
  </si>
  <si>
    <t>Never missing for eligible employees</t>
  </si>
  <si>
    <t>Nested within business unit</t>
  </si>
  <si>
    <t>job_level</t>
  </si>
  <si>
    <t>Job level</t>
  </si>
  <si>
    <t>Entry level, Professional, Senior Professional, Manager, Director and Above</t>
  </si>
  <si>
    <t>Separate from manager status</t>
  </si>
  <si>
    <t>manager_status</t>
  </si>
  <si>
    <t>Manager status</t>
  </si>
  <si>
    <t>Individual Contributor, People Manager</t>
  </si>
  <si>
    <t>Do not infer solely from job level</t>
  </si>
  <si>
    <t>work_arrangement</t>
  </si>
  <si>
    <t>Work arrangement</t>
  </si>
  <si>
    <t>On-site, Hybrid, Remote</t>
  </si>
  <si>
    <t>May vary by department</t>
  </si>
  <si>
    <t>location_region</t>
  </si>
  <si>
    <t>Location region</t>
  </si>
  <si>
    <t>Use broad regions, not exact addresses</t>
  </si>
  <si>
    <t>Employee and survey identifiers</t>
  </si>
  <si>
    <t>Organizational variables</t>
  </si>
  <si>
    <t>hire_date</t>
  </si>
  <si>
    <t>Hire date</t>
  </si>
  <si>
    <t>Valid date on or before survey date</t>
  </si>
  <si>
    <t>Used to calculate tenure</t>
  </si>
  <si>
    <t>Tenure variables</t>
  </si>
  <si>
    <t>tenure_years</t>
  </si>
  <si>
    <t>Tenure in years</t>
  </si>
  <si>
    <t>Decimal</t>
  </si>
  <si>
    <t>0 or greater</t>
  </si>
  <si>
    <t>Never missing when hire date is available</t>
  </si>
  <si>
    <t>Derived</t>
  </si>
  <si>
    <t>Calculated separately for each wave</t>
  </si>
  <si>
    <t>tenure_group</t>
  </si>
  <si>
    <t>Tenure group</t>
  </si>
  <si>
    <t>Less than 1 year, 1–2 years, 3–5 years, 6–10 years, 11 or more years</t>
  </si>
  <si>
    <t>Never missing when tenure is available</t>
  </si>
  <si>
    <t>Used for dashboard comparisons</t>
  </si>
  <si>
    <t>Eligibility and participation variables</t>
  </si>
  <si>
    <t>eligible</t>
  </si>
  <si>
    <t>Survey eligible</t>
  </si>
  <si>
    <t>0 = No, 1 = Yes</t>
  </si>
  <si>
    <t>Defines the survey population</t>
  </si>
  <si>
    <t>exclusion_reason</t>
  </si>
  <si>
    <t>Exclusion reason</t>
  </si>
  <si>
    <t>Inactive before launch, Ineligible temporary worker, Joined after population freeze, Left before invitation, Invalid contact information, Other</t>
  </si>
  <si>
    <t>Blank or NA when eligible</t>
  </si>
  <si>
    <t>Only populated when eligible = 0</t>
  </si>
  <si>
    <t>invited</t>
  </si>
  <si>
    <t>Survey invited</t>
  </si>
  <si>
    <t>Normally 1 for eligible employees</t>
  </si>
  <si>
    <t>responded</t>
  </si>
  <si>
    <t>Survey responded</t>
  </si>
  <si>
    <t>Used for response-rate calculation</t>
  </si>
  <si>
    <t>response_date</t>
  </si>
  <si>
    <t>Response date</t>
  </si>
  <si>
    <t>Valid date during the survey field period</t>
  </si>
  <si>
    <t>Blank or NA when no response was submitted</t>
  </si>
  <si>
    <t>Must occur on or after survey launch</t>
  </si>
  <si>
    <t>usable_response</t>
  </si>
  <si>
    <t>Usable response</t>
  </si>
  <si>
    <t>Numerator for the official response rate</t>
  </si>
  <si>
    <t>response_status</t>
  </si>
  <si>
    <t>Response status</t>
  </si>
  <si>
    <t>Derived from eligibility and response fields</t>
  </si>
  <si>
    <t>Synthetic identifier assigned to each employee.</t>
  </si>
  <si>
    <t>Survey administration wave associated with the employee record.</t>
  </si>
  <si>
    <t>Date on which the survey was launched.</t>
  </si>
  <si>
    <t>Employee's assigned business unit at survey launch.</t>
  </si>
  <si>
    <t>Employee's assigned department at survey launch.</t>
  </si>
  <si>
    <t>Employee's organizational job level at survey launch.</t>
  </si>
  <si>
    <t>Indicates whether the employee directly manages other employees.</t>
  </si>
  <si>
    <t>Employee's primary work arrangement at survey launch.</t>
  </si>
  <si>
    <t>Broad geographic work location assigned to the employee.</t>
  </si>
  <si>
    <t>Synthetic date on which the employee joined the organization.</t>
  </si>
  <si>
    <t>Number of years between the hire date and survey launch date.</t>
  </si>
  <si>
    <t>Grouped employee tenure at survey launch.</t>
  </si>
  <si>
    <t>Indicates whether the employee met the eligibility criteria for the survey wave.</t>
  </si>
  <si>
    <t>Reason an employee was excluded from the eligible survey population.</t>
  </si>
  <si>
    <t>Indicates whether the employee received a survey invitation.</t>
  </si>
  <si>
    <t>Indicates whether the invited employee submitted a survey response.</t>
  </si>
  <si>
    <t>Date on which the employee submitted the survey.</t>
  </si>
  <si>
    <t>Indicates whether the submitted response met the analysis requirements.</t>
  </si>
  <si>
    <t>Summarizes the employee's final survey participation status.</t>
  </si>
  <si>
    <t>Not eligible, Not invited, No response, Unusable response, Usable response</t>
  </si>
  <si>
    <t>Variable group</t>
  </si>
  <si>
    <t>Parameter</t>
  </si>
  <si>
    <t>Wave 1</t>
  </si>
  <si>
    <t>Wave 2</t>
  </si>
  <si>
    <t>Approximate workforce size</t>
  </si>
  <si>
    <t>Time between waves</t>
  </si>
  <si>
    <t>-</t>
  </si>
  <si>
    <t>6 months</t>
  </si>
  <si>
    <t>Response_Scales</t>
  </si>
  <si>
    <t>Defined five-point agreement response scale</t>
  </si>
  <si>
    <t>Standardize survey response coding</t>
  </si>
  <si>
    <t>Data_Dictionary</t>
  </si>
  <si>
    <t>Document survey data structure</t>
  </si>
  <si>
    <t>Added employee population, organizational, tenure, eligibility, and participation variables</t>
  </si>
  <si>
    <t>Define fields required for population and response-rate analysis</t>
  </si>
  <si>
    <t>Population_Spec</t>
  </si>
  <si>
    <t>Added synthetic workforce population assumptions and target distributions</t>
  </si>
  <si>
    <t>Define population-generation assumptions before creating synthetic data</t>
  </si>
  <si>
    <t>Organizational Structure</t>
  </si>
  <si>
    <t>Survey Waves</t>
  </si>
  <si>
    <t>Target headcount</t>
  </si>
  <si>
    <t>% of workforce</t>
  </si>
  <si>
    <t>Customer Support</t>
  </si>
  <si>
    <t>Implementation</t>
  </si>
  <si>
    <t>Service Delivery</t>
  </si>
  <si>
    <t>Technology and Product</t>
  </si>
  <si>
    <t>Engineering</t>
  </si>
  <si>
    <t>Data and Analytics</t>
  </si>
  <si>
    <t>Product</t>
  </si>
  <si>
    <t>Corporate Services</t>
  </si>
  <si>
    <t>Human Resources</t>
  </si>
  <si>
    <t>Finance</t>
  </si>
  <si>
    <t>Sales and Marketing</t>
  </si>
  <si>
    <t>Job-level Distribution</t>
  </si>
  <si>
    <t>Target %</t>
  </si>
  <si>
    <t>Approximate headcount</t>
  </si>
  <si>
    <t>Professional</t>
  </si>
  <si>
    <t>Senior Professional</t>
  </si>
  <si>
    <t>Manager</t>
  </si>
  <si>
    <t>Director and Above</t>
  </si>
  <si>
    <t>Tenure Targets</t>
  </si>
  <si>
    <t>Less than 1 year</t>
  </si>
  <si>
    <t>1–2 years</t>
  </si>
  <si>
    <t>3–5 years</t>
  </si>
  <si>
    <t>6–10 years</t>
  </si>
  <si>
    <t>11 or more years</t>
  </si>
  <si>
    <t>Work Arrangements</t>
  </si>
  <si>
    <t>Location Region</t>
  </si>
  <si>
    <t>Manager Status Logic</t>
  </si>
  <si>
    <t>On-site</t>
  </si>
  <si>
    <t>Hybrid</t>
  </si>
  <si>
    <t>Remote</t>
  </si>
  <si>
    <t>Region</t>
  </si>
  <si>
    <t>Northeast</t>
  </si>
  <si>
    <t>South</t>
  </si>
  <si>
    <t>Midwest</t>
  </si>
  <si>
    <t>West</t>
  </si>
  <si>
    <t>Northeast, South, Midwest, West</t>
  </si>
  <si>
    <t>Approximate probability of being a People Manager</t>
  </si>
  <si>
    <t>Entry Level</t>
  </si>
  <si>
    <t>Generation Rules and Dependencies</t>
  </si>
  <si>
    <t>Variable</t>
  </si>
  <si>
    <t>Depends on</t>
  </si>
  <si>
    <t>Rule</t>
  </si>
  <si>
    <t>Department must belong to its assigned business unit</t>
  </si>
  <si>
    <t>Job-level mix may vary by department</t>
  </si>
  <si>
    <t>Probability of being a people manager increases at higher job levels</t>
  </si>
  <si>
    <t>Work arrangement probabilities vary by department</t>
  </si>
  <si>
    <t>Survey date</t>
  </si>
  <si>
    <t>Hire date must occur on or before the relevant survey date</t>
  </si>
  <si>
    <t>hire_date, survey_date</t>
  </si>
  <si>
    <t>Derived from the difference between hire date and survey date</t>
  </si>
  <si>
    <t>Derived from tenure-year boundaries</t>
  </si>
  <si>
    <t>Employment status and dates</t>
  </si>
  <si>
    <t>Eligibility determined by the survey population rules</t>
  </si>
  <si>
    <t>Eligible employees are normally invited</t>
  </si>
  <si>
    <t>Department, tenure, work arrangement</t>
  </si>
  <si>
    <t>Response probability may vary moderately across groups</t>
  </si>
  <si>
    <t>responded, survey completion</t>
  </si>
  <si>
    <t>Only submitted responses can be classified as usable</t>
  </si>
  <si>
    <t>Department-specific Work Arrangement Assumptions</t>
  </si>
  <si>
    <t>Job-level Mix</t>
  </si>
  <si>
    <t>Department type</t>
  </si>
  <si>
    <t>Entry</t>
  </si>
  <si>
    <t>Director+</t>
  </si>
  <si>
    <t>Customer Support / Service Delivery</t>
  </si>
  <si>
    <t>HR / Finance</t>
  </si>
  <si>
    <t>Blank or NA when responded = 0</t>
  </si>
  <si>
    <t>eligible, invited, responded, usable_response</t>
  </si>
  <si>
    <t>Derived from eligibility and survey participation fields</t>
  </si>
  <si>
    <t>Client Operations</t>
  </si>
  <si>
    <t>Engineering / Data and Analytics / Product</t>
  </si>
  <si>
    <t>Added generation dependencies, department-specific work-arrangement probabilities, and job-level mix assumptions</t>
  </si>
  <si>
    <t>Define relationships required for realistic synthetic population generation</t>
  </si>
  <si>
    <t>Added survey-response variables and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</si>
</sst>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3" fontId="0" fillId="0" borderId="0" xfId="0" applyNumberFormat="1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9" fontId="0" fillId="0" borderId="0" xfId="0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29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nyere Ugwuanyi" id="{82BDE475-0633-9649-B881-C33B28C8AA65}" userId="S::ceu15@irap.rutgers.edu::f0267361-27eb-4244-8562-f0f524a046f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5C188-CFD1-504C-BA03-679B563BD7F1}" name="Table1" displayName="Table1" ref="A1:H30" totalsRowCount="1">
  <autoFilter ref="A1:H29" xr:uid="{2F95C188-CFD1-504C-BA03-679B563BD7F1}"/>
  <tableColumns count="8">
    <tableColumn id="1" xr3:uid="{A8A89B64-9472-4F4A-B0DA-51B3482EB929}" name="Variable name" totalsRowLabel="Total"/>
    <tableColumn id="2" xr3:uid="{59445B3C-BB38-3C44-8D1D-8472E9F26770}" name="Construct"/>
    <tableColumn id="3" xr3:uid="{64A20309-5D6F-784C-96B3-35E3C2339AC1}" name="Facet" dataDxfId="27" totalsRowDxfId="26"/>
    <tableColumn id="4" xr3:uid="{D21672B7-0C80-6547-AABD-2F4A18C7056C}" name="Survey item" dataDxfId="25"/>
    <tableColumn id="5" xr3:uid="{EBA6C73C-51BC-1E45-8EC9-5F2C1729BE6C}" name="Response scale"/>
    <tableColumn id="6" xr3:uid="{F36F908E-C4B4-A34D-A5F6-CEF51CB58AB8}" name="Reverse-coded"/>
    <tableColumn id="7" xr3:uid="{20FD4A71-7393-F54F-8B92-7FD85EA4F2A9}" name="Include in final survey" totalsRowFunction="count"/>
    <tableColumn id="8" xr3:uid="{4CA48337-5A2C-B943-A467-25CB0DFA2425}" name="Notes" dataDxfId="24" totalsRowDxfId="23"/>
  </tableColumns>
  <tableStyleInfo name="TableStyleLight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D7908-58F1-A545-B5C0-C561065F0EA3}" name="Table4" displayName="Table4" ref="A1:J48" totalsRowShown="0">
  <autoFilter ref="A1:J48" xr:uid="{DACD7908-58F1-A545-B5C0-C561065F0EA3}"/>
  <tableColumns count="10">
    <tableColumn id="1" xr3:uid="{6DCC45BE-FEF8-AF4D-A443-B94FC63A95DE}" name="Variable name" dataDxfId="22">
      <calculatedColumnFormula>Construct_Item_Map!$A2</calculatedColumnFormula>
    </tableColumn>
    <tableColumn id="2" xr3:uid="{70F32E22-051F-8F41-986E-09449B9EB3BE}" name="Table"/>
    <tableColumn id="3" xr3:uid="{95ECE9E7-523F-5B42-B9F8-3498820E8704}" name="Display label" dataDxfId="21">
      <calculatedColumnFormula>Table1[[#This Row],[Facet]]</calculatedColumnFormula>
    </tableColumn>
    <tableColumn id="4" xr3:uid="{7656D187-4CFA-CB48-B722-24264C3BB204}" name="Description" dataDxfId="20">
      <calculatedColumnFormula>Table1[[#This Row],[Survey item]]</calculatedColumnFormula>
    </tableColumn>
    <tableColumn id="5" xr3:uid="{5A62ED49-058C-8740-8264-63CA56159480}" name="Data type"/>
    <tableColumn id="6" xr3:uid="{A7F6D3BC-7D75-4F43-BB8C-FBB8BCF71195}" name="Allowed values " dataDxfId="19"/>
    <tableColumn id="7" xr3:uid="{126BFF2C-1402-7441-B63F-C02D54ED6DD9}" name="Missing-value rule" dataDxfId="18"/>
    <tableColumn id="8" xr3:uid="{38F824C8-1347-7F49-8F57-A7848BE715AD}" name="Source"/>
    <tableColumn id="9" xr3:uid="{2C9FFD3B-590B-0447-BD46-67EC62DD84DA}" name="Public reporting status" dataDxfId="16"/>
    <tableColumn id="10" xr3:uid="{B3388584-5038-9044-8D19-813092D67D93}" name="Notes" dataDxfId="1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C0B96-2220-994B-A91C-F4F24554DEC0}" name="Table5" displayName="Table5" ref="K1:K48" totalsRowShown="0" headerRowDxfId="14" dataDxfId="13">
  <autoFilter ref="K1:K48" xr:uid="{8C4C0B96-2220-994B-A91C-F4F24554DEC0}"/>
  <tableColumns count="1">
    <tableColumn id="1" xr3:uid="{A734761D-07E4-2548-9030-6642F5872B0D}" name="Variable group" dataDxfId="1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78CC58-50ED-3344-AEBC-CCEF69724F3D}" name="Table2" displayName="Table2" ref="A1:D6" totalsRowShown="0">
  <autoFilter ref="A1:D6" xr:uid="{1078CC58-50ED-3344-AEBC-CCEF69724F3D}"/>
  <tableColumns count="4">
    <tableColumn id="1" xr3:uid="{D44FEDEA-0E45-8541-9809-D97212B763D6}" name="Scale ID"/>
    <tableColumn id="2" xr3:uid="{F6495CD4-F555-974B-ADC6-78C52FC6698E}" name="Value"/>
    <tableColumn id="3" xr3:uid="{37331BF6-0B4B-7F4B-9AB0-D6BEEFC8BE25}" name="Response label"/>
    <tableColumn id="4" xr3:uid="{C2C0A155-598C-A54E-B2CF-4FCA06C6920B}" name="Response category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1A7FB7-8792-0F41-B132-078EB83EBDB9}" name="Table6" displayName="Table6" ref="A11:D21" totalsRowCount="1">
  <autoFilter ref="A11:D20" xr:uid="{E31A7FB7-8792-0F41-B132-078EB83EBDB9}"/>
  <tableColumns count="4">
    <tableColumn id="1" xr3:uid="{DDD3F10B-E009-6044-B541-5A49F8B2EF9D}" name="Business unit" totalsRowLabel="Total"/>
    <tableColumn id="2" xr3:uid="{F8508127-546D-4B4B-B6A3-1FC7F1543E16}" name="Department"/>
    <tableColumn id="3" xr3:uid="{6DCF9D9D-CCCC-2B4D-9DCB-451962EEB14C}" name="Target headcount" totalsRowFunction="custom">
      <totalsRowFormula>SUBTOTAL(109,Table6[Target headcount])</totalsRowFormula>
    </tableColumn>
    <tableColumn id="4" xr3:uid="{E271138C-36B2-0C45-B37C-FFCD34948BD5}" name="% of workforce" totalsRowFunction="sum" dataDxfId="9" totalsRowDxfId="8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74C92A-D3D7-3A48-9537-D00B5DBEF1D6}" name="Table7" displayName="Table7" ref="A3:C7" totalsRowShown="0" headerRowDxfId="10">
  <autoFilter ref="A3:C7" xr:uid="{2474C92A-D3D7-3A48-9537-D00B5DBEF1D6}"/>
  <tableColumns count="3">
    <tableColumn id="1" xr3:uid="{B0E18013-1655-3E49-A6EB-ABDC60F5C82C}" name="Parameter"/>
    <tableColumn id="2" xr3:uid="{9BE6E3C0-7ACF-F347-A4EB-A273365FA993}" name="Wave 1"/>
    <tableColumn id="3" xr3:uid="{82E38D28-28C6-0046-86F7-50776C3CFB5F}" name="Wave 2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6185D0-07F5-6E4E-BC3F-64C576339E1C}" name="Table8" displayName="Table8" ref="A24:C30" totalsRowCount="1">
  <autoFilter ref="A24:C29" xr:uid="{0B6185D0-07F5-6E4E-BC3F-64C576339E1C}"/>
  <tableColumns count="3">
    <tableColumn id="1" xr3:uid="{61FACA17-ABA6-F440-A7B4-B36219B634A4}" name="Job level" totalsRowLabel="Total"/>
    <tableColumn id="2" xr3:uid="{D315E144-120A-7E49-B95F-7865D839E1C1}" name="Target %" totalsRowFunction="sum" dataDxfId="7" dataCellStyle="Percent" totalsRowCellStyle="Percent"/>
    <tableColumn id="3" xr3:uid="{3DA46D54-4202-A24B-A387-07B40ECDA5BF}" name="Approximate headcount" totalsRowFunction="sum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D22E7-0D4F-DA4F-B9E4-0A481F361904}" name="Table11" displayName="Table11" ref="A33:C39" totalsRowCount="1">
  <autoFilter ref="A33:C38" xr:uid="{000D22E7-0D4F-DA4F-B9E4-0A481F361904}"/>
  <tableColumns count="3">
    <tableColumn id="1" xr3:uid="{E7E934DC-A43B-0A48-9CBD-11A5A9C9AF2A}" name="Tenure group" totalsRowLabel="Total"/>
    <tableColumn id="2" xr3:uid="{7DAB947A-6C58-6347-8112-762436359D96}" name="Target %" totalsRowFunction="sum" dataDxfId="6" totalsRowDxfId="5" dataCellStyle="Percent"/>
    <tableColumn id="3" xr3:uid="{F5E1AADB-9FE1-A846-A50F-2CC066770336}" name="Approximate headcount" totalsRowFunction="sum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6F9ECC-45EB-0041-9441-796DF5C0F4DB}" name="Table12" displayName="Table12" ref="A42:C46" totalsRowCount="1">
  <autoFilter ref="A42:C45" xr:uid="{8E6F9ECC-45EB-0041-9441-796DF5C0F4DB}"/>
  <tableColumns count="3">
    <tableColumn id="1" xr3:uid="{BC1324B6-FFE7-C145-AA92-6C82D1610A68}" name="Work arrangement" totalsRowLabel="Total"/>
    <tableColumn id="2" xr3:uid="{973B4805-BB20-2449-94B9-EB39D957F69B}" name="Target %" totalsRowFunction="sum" totalsRowDxfId="4" dataCellStyle="Percent"/>
    <tableColumn id="3" xr3:uid="{44FCB540-A972-FF49-8004-E8878CF1F8AF}" name="Approximate headcount" totalsRowFunction="sum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0736BD-39C8-7E4F-836B-7C99EF4D0F10}" name="Table13" displayName="Table13" ref="A49:C54" totalsRowCount="1">
  <autoFilter ref="A49:C53" xr:uid="{550736BD-39C8-7E4F-836B-7C99EF4D0F10}"/>
  <tableColumns count="3">
    <tableColumn id="1" xr3:uid="{1BA275AF-7864-724B-BD0C-36DD5CE1CBD2}" name="Region" totalsRowLabel="Total"/>
    <tableColumn id="2" xr3:uid="{3B44E970-0A89-8540-ABD7-2C22C8EF6A36}" name="Target %" totalsRowFunction="sum" dataDxfId="3" totalsRowDxfId="2" dataCellStyle="Percent"/>
    <tableColumn id="3" xr3:uid="{AF8B4FD4-36D5-0143-87D1-0F9F71C66430}" name="Approximate headcount" totalsRowFunction="sum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2B8936-85D9-A748-95DB-F30D928D3063}" name="Table14" displayName="Table14" ref="A57:B62">
  <autoFilter ref="A57:B62" xr:uid="{D42B8936-85D9-A748-95DB-F30D928D3063}"/>
  <tableColumns count="2">
    <tableColumn id="1" xr3:uid="{CB0921BF-CC44-024D-950B-5430222DF52D}" name="Job level" totalsRowLabel="Total"/>
    <tableColumn id="2" xr3:uid="{281DAF35-F952-4D42-9B56-A0B9DCB41BBB}" name="Approximate probability of being a People Manager" totalsRowFunction="sum" totalsRowDxfId="1" dataCellStyle="Percent" totalsRow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D13C8F-F94A-244F-9342-5F36F7F8792F}" name="Table15" displayName="Table15" ref="A65:C77" totalsRowShown="0">
  <autoFilter ref="A65:C77" xr:uid="{C6D13C8F-F94A-244F-9342-5F36F7F8792F}"/>
  <tableColumns count="3">
    <tableColumn id="1" xr3:uid="{E73826F3-8611-4F4B-AD54-A2213150632A}" name="Variable"/>
    <tableColumn id="2" xr3:uid="{6D5F18D2-B936-DC43-85C0-368A6C5B1A55}" name="Depends on"/>
    <tableColumn id="3" xr3:uid="{8ADA29EC-FC73-534D-AA2F-8E66EBCBF482}" name="Rule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6D0FF1-C21A-954A-83AD-5F1DAB3A3F2D}" name="Table16" displayName="Table16" ref="A80:E89" totalsRowShown="0">
  <autoFilter ref="A80:E89" xr:uid="{376D0FF1-C21A-954A-83AD-5F1DAB3A3F2D}"/>
  <tableColumns count="5">
    <tableColumn id="1" xr3:uid="{C17FCCA8-61E4-5F43-8854-0E4259D80AFE}" name="Department"/>
    <tableColumn id="2" xr3:uid="{E87C5454-5FD8-A74D-8C69-00D300F68A9D}" name="On-site" dataCellStyle="Percent"/>
    <tableColumn id="3" xr3:uid="{F292D198-5F00-5F40-8997-1E16BBDA53B9}" name="Hybrid" dataCellStyle="Percent"/>
    <tableColumn id="4" xr3:uid="{79DD51F2-4A8B-1F40-B9ED-E684E7949AC2}" name="Remote" dataCellStyle="Percent"/>
    <tableColumn id="5" xr3:uid="{F1617136-CCCD-5E43-95EF-C8FEC80E30CC}" name="Total" dataDxfId="0" dataCellStyle="Percent">
      <calculatedColumnFormula>SUM(Table16[[#This Row],[On-site]:[Remote]])</calculatedColumnFormula>
    </tableColumn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70A8AA-EA13-4F4B-AE44-19E1CCCE1448}" name="Table17" displayName="Table17" ref="A92:G97" totalsRowShown="0">
  <autoFilter ref="A92:G97" xr:uid="{B670A8AA-EA13-4F4B-AE44-19E1CCCE1448}"/>
  <tableColumns count="7">
    <tableColumn id="1" xr3:uid="{DF9CCA89-C781-534C-9AE0-99DDA3BD4CD0}" name="Department type"/>
    <tableColumn id="2" xr3:uid="{9345A33E-0FD7-9247-9A3B-93B9C85EC0FF}" name="Entry" dataCellStyle="Percent"/>
    <tableColumn id="3" xr3:uid="{F9521576-8FE8-B84C-AD5B-55F841E7D481}" name="Professional" dataCellStyle="Percent"/>
    <tableColumn id="4" xr3:uid="{E0983087-66F2-8F4E-9EC2-D6833626F347}" name="Senior Professional" dataCellStyle="Percent"/>
    <tableColumn id="5" xr3:uid="{0F9D056A-F549-4A48-B7DB-080FED147D21}" name="Manager" dataCellStyle="Percent"/>
    <tableColumn id="6" xr3:uid="{112DA956-0375-7342-A91C-67B3330615FC}" name="Director+" dataCellStyle="Percent"/>
    <tableColumn id="7" xr3:uid="{A182C3F3-0175-0841-BA1F-F49A59D72072}" name="Total" dataCellStyle="Percent">
      <calculatedColumnFormula>SUM(Table17[[#This Row],[Entry]:[Director+]])</calculatedColumnFormula>
    </tableColumn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8E04C-8E0F-CB46-8816-2FB6CE4B0648}" name="Table3" displayName="Table3" ref="A1:E18" totalsRowShown="0">
  <autoFilter ref="A1:E18" xr:uid="{CAB8E04C-8E0F-CB46-8816-2FB6CE4B0648}"/>
  <tableColumns count="5">
    <tableColumn id="1" xr3:uid="{FC497327-72B1-BF40-8E10-3301D5C28B46}" name="Version"/>
    <tableColumn id="2" xr3:uid="{EB2A8ECD-94C2-CB4A-A337-56A9115098BA}" name="Date" dataDxfId="28"/>
    <tableColumn id="3" xr3:uid="{FCFA4E84-60F4-744F-B741-D5CF19BC9FD1}" name="Item or sheet"/>
    <tableColumn id="4" xr3:uid="{8A4A8760-2944-4D4F-9836-A05ECE0A54D9}" name="Change" dataDxfId="12"/>
    <tableColumn id="5" xr3:uid="{629C2DD4-25A7-7142-8AD9-8EE73351E87E}" name="Reason" dataDxfId="1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6-08-06T20:48:48.63" personId="{82BDE475-0633-9649-B881-C33B28C8AA65}" id="{FA7924C1-D945-C540-B336-05A717601B6C}">
    <text>negatively related to leaving but is phrased positively for staying. Don't switch to confusing reverse-coding wording unless I discover a strong methodological reason.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5" dT="2026-08-09T18:37:20.99" personId="{82BDE475-0633-9649-B881-C33B28C8AA65}" id="{901B0B49-E70E-B940-883C-5DC331B18794}">
    <text>Response rate = Number of usable responses / Number of eligible invited employees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6-08-09T19:12:51.13" personId="{82BDE475-0633-9649-B881-C33B28C8AA65}" id="{DF1D91B4-679C-1A4E-AC67-285AB268DA4D}">
    <text>Intentionally uneven department sizes makes it more realistic</text>
  </threadedComment>
  <threadedComment ref="A56" dT="2026-08-09T19:29:14.90" personId="{82BDE475-0633-9649-B881-C33B28C8AA65}" id="{AC3A2F3C-7BE2-2841-878F-1B39B9A3882D}">
    <text>everyone at the Manager level is not necessarily a people manager. This serves as an assumptions table.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microsoft.com/office/2017/10/relationships/threadedComment" Target="../threadedComments/threadedComment3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BBA3-A427-2E4C-AC09-067FC73712BC}">
  <dimension ref="A1:H30"/>
  <sheetViews>
    <sheetView topLeftCell="A22" zoomScale="130" zoomScaleNormal="130" workbookViewId="0">
      <selection activeCell="D2" sqref="D2"/>
    </sheetView>
  </sheetViews>
  <sheetFormatPr baseColWidth="10" defaultRowHeight="16" x14ac:dyDescent="0.2"/>
  <cols>
    <col min="1" max="1" width="14.33203125" customWidth="1"/>
    <col min="2" max="2" width="21.6640625" bestFit="1" customWidth="1"/>
    <col min="3" max="3" width="28.83203125" style="3" bestFit="1" customWidth="1"/>
    <col min="4" max="4" width="17.6640625" customWidth="1"/>
    <col min="5" max="5" width="15.1640625" customWidth="1"/>
    <col min="6" max="6" width="14.83203125" customWidth="1"/>
    <col min="7" max="7" width="20.1640625" customWidth="1"/>
    <col min="8" max="8" width="28.83203125" style="4" customWidth="1"/>
  </cols>
  <sheetData>
    <row r="1" spans="1:8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ht="68" x14ac:dyDescent="0.2">
      <c r="A2" t="s">
        <v>135</v>
      </c>
      <c r="B2" s="3" t="s">
        <v>89</v>
      </c>
      <c r="C2" s="1" t="s">
        <v>89</v>
      </c>
      <c r="D2" s="2" t="s">
        <v>90</v>
      </c>
      <c r="E2" t="s">
        <v>108</v>
      </c>
      <c r="F2" t="s">
        <v>63</v>
      </c>
      <c r="G2" t="s">
        <v>64</v>
      </c>
      <c r="H2" s="5"/>
    </row>
    <row r="3" spans="1:8" ht="34" x14ac:dyDescent="0.2">
      <c r="A3" t="s">
        <v>40</v>
      </c>
      <c r="B3" s="3" t="s">
        <v>9</v>
      </c>
      <c r="C3" s="3" t="s">
        <v>39</v>
      </c>
      <c r="D3" s="2" t="s">
        <v>68</v>
      </c>
      <c r="E3" t="s">
        <v>108</v>
      </c>
      <c r="F3" t="s">
        <v>63</v>
      </c>
      <c r="G3" t="s">
        <v>64</v>
      </c>
      <c r="H3" s="5"/>
    </row>
    <row r="4" spans="1:8" ht="34" x14ac:dyDescent="0.2">
      <c r="A4" t="s">
        <v>42</v>
      </c>
      <c r="B4" s="3" t="s">
        <v>9</v>
      </c>
      <c r="C4" s="3" t="s">
        <v>10</v>
      </c>
      <c r="D4" s="2" t="s">
        <v>67</v>
      </c>
      <c r="E4" t="s">
        <v>108</v>
      </c>
      <c r="F4" t="s">
        <v>63</v>
      </c>
      <c r="G4" t="s">
        <v>64</v>
      </c>
      <c r="H4" s="5"/>
    </row>
    <row r="5" spans="1:8" ht="51" x14ac:dyDescent="0.2">
      <c r="A5" t="s">
        <v>43</v>
      </c>
      <c r="B5" s="3" t="s">
        <v>9</v>
      </c>
      <c r="C5" s="3" t="s">
        <v>11</v>
      </c>
      <c r="D5" s="2" t="s">
        <v>66</v>
      </c>
      <c r="E5" t="s">
        <v>108</v>
      </c>
      <c r="F5" t="s">
        <v>63</v>
      </c>
      <c r="G5" t="s">
        <v>64</v>
      </c>
      <c r="H5" s="5"/>
    </row>
    <row r="6" spans="1:8" ht="68" x14ac:dyDescent="0.2">
      <c r="A6" t="s">
        <v>44</v>
      </c>
      <c r="B6" s="3" t="s">
        <v>9</v>
      </c>
      <c r="C6" s="3" t="s">
        <v>12</v>
      </c>
      <c r="D6" s="2" t="s">
        <v>65</v>
      </c>
      <c r="E6" t="s">
        <v>108</v>
      </c>
      <c r="F6" t="s">
        <v>63</v>
      </c>
      <c r="G6" t="s">
        <v>64</v>
      </c>
      <c r="H6" s="5" t="s">
        <v>100</v>
      </c>
    </row>
    <row r="7" spans="1:8" ht="68" x14ac:dyDescent="0.2">
      <c r="A7" t="s">
        <v>93</v>
      </c>
      <c r="B7" s="1" t="s">
        <v>13</v>
      </c>
      <c r="C7" s="3" t="s">
        <v>14</v>
      </c>
      <c r="D7" s="2" t="s">
        <v>69</v>
      </c>
      <c r="E7" t="s">
        <v>108</v>
      </c>
      <c r="F7" t="s">
        <v>63</v>
      </c>
      <c r="G7" t="s">
        <v>64</v>
      </c>
      <c r="H7" s="5"/>
    </row>
    <row r="8" spans="1:8" ht="68" x14ac:dyDescent="0.2">
      <c r="A8" t="s">
        <v>94</v>
      </c>
      <c r="B8" s="1" t="s">
        <v>13</v>
      </c>
      <c r="C8" s="3" t="s">
        <v>15</v>
      </c>
      <c r="D8" s="2" t="s">
        <v>70</v>
      </c>
      <c r="E8" t="s">
        <v>108</v>
      </c>
      <c r="F8" t="s">
        <v>63</v>
      </c>
      <c r="G8" t="s">
        <v>64</v>
      </c>
      <c r="H8" s="5"/>
    </row>
    <row r="9" spans="1:8" ht="68" x14ac:dyDescent="0.2">
      <c r="A9" t="s">
        <v>95</v>
      </c>
      <c r="B9" s="1" t="s">
        <v>13</v>
      </c>
      <c r="C9" s="3" t="s">
        <v>16</v>
      </c>
      <c r="D9" s="2" t="s">
        <v>71</v>
      </c>
      <c r="E9" t="s">
        <v>108</v>
      </c>
      <c r="F9" t="s">
        <v>63</v>
      </c>
      <c r="G9" t="s">
        <v>64</v>
      </c>
      <c r="H9" s="5"/>
    </row>
    <row r="10" spans="1:8" ht="51" x14ac:dyDescent="0.2">
      <c r="A10" t="s">
        <v>96</v>
      </c>
      <c r="B10" s="1" t="s">
        <v>13</v>
      </c>
      <c r="C10" s="3" t="s">
        <v>17</v>
      </c>
      <c r="D10" s="2" t="s">
        <v>72</v>
      </c>
      <c r="E10" t="s">
        <v>108</v>
      </c>
      <c r="F10" t="s">
        <v>63</v>
      </c>
      <c r="G10" t="s">
        <v>64</v>
      </c>
      <c r="H10" s="5"/>
    </row>
    <row r="11" spans="1:8" ht="68" x14ac:dyDescent="0.2">
      <c r="A11" t="s">
        <v>45</v>
      </c>
      <c r="B11" s="3" t="s">
        <v>18</v>
      </c>
      <c r="C11" s="3" t="s">
        <v>19</v>
      </c>
      <c r="D11" s="2" t="s">
        <v>73</v>
      </c>
      <c r="E11" t="s">
        <v>108</v>
      </c>
      <c r="F11" t="s">
        <v>63</v>
      </c>
      <c r="G11" t="s">
        <v>64</v>
      </c>
      <c r="H11" s="5"/>
    </row>
    <row r="12" spans="1:8" ht="51" x14ac:dyDescent="0.2">
      <c r="A12" t="s">
        <v>46</v>
      </c>
      <c r="B12" s="3" t="s">
        <v>18</v>
      </c>
      <c r="C12" s="3" t="s">
        <v>20</v>
      </c>
      <c r="D12" s="2" t="s">
        <v>74</v>
      </c>
      <c r="E12" t="s">
        <v>108</v>
      </c>
      <c r="F12" t="s">
        <v>63</v>
      </c>
      <c r="G12" t="s">
        <v>64</v>
      </c>
      <c r="H12" s="5"/>
    </row>
    <row r="13" spans="1:8" ht="51" x14ac:dyDescent="0.2">
      <c r="A13" t="s">
        <v>47</v>
      </c>
      <c r="B13" s="3" t="s">
        <v>18</v>
      </c>
      <c r="C13" s="3" t="s">
        <v>21</v>
      </c>
      <c r="D13" s="2" t="s">
        <v>75</v>
      </c>
      <c r="E13" t="s">
        <v>108</v>
      </c>
      <c r="F13" t="s">
        <v>63</v>
      </c>
      <c r="G13" t="s">
        <v>64</v>
      </c>
      <c r="H13" s="5"/>
    </row>
    <row r="14" spans="1:8" ht="68" x14ac:dyDescent="0.2">
      <c r="A14" t="s">
        <v>48</v>
      </c>
      <c r="B14" s="3" t="s">
        <v>18</v>
      </c>
      <c r="C14" s="3" t="s">
        <v>22</v>
      </c>
      <c r="D14" s="2" t="s">
        <v>76</v>
      </c>
      <c r="E14" t="s">
        <v>108</v>
      </c>
      <c r="F14" t="s">
        <v>63</v>
      </c>
      <c r="G14" t="s">
        <v>64</v>
      </c>
      <c r="H14" s="5"/>
    </row>
    <row r="15" spans="1:8" ht="68" x14ac:dyDescent="0.2">
      <c r="A15" t="s">
        <v>49</v>
      </c>
      <c r="B15" s="3" t="s">
        <v>23</v>
      </c>
      <c r="C15" s="3" t="s">
        <v>24</v>
      </c>
      <c r="D15" s="2" t="s">
        <v>77</v>
      </c>
      <c r="E15" t="s">
        <v>108</v>
      </c>
      <c r="F15" t="s">
        <v>63</v>
      </c>
      <c r="G15" t="s">
        <v>64</v>
      </c>
      <c r="H15" s="5"/>
    </row>
    <row r="16" spans="1:8" ht="68" x14ac:dyDescent="0.2">
      <c r="A16" t="s">
        <v>50</v>
      </c>
      <c r="B16" s="3" t="s">
        <v>23</v>
      </c>
      <c r="C16" s="3" t="s">
        <v>25</v>
      </c>
      <c r="D16" s="2" t="s">
        <v>78</v>
      </c>
      <c r="E16" t="s">
        <v>108</v>
      </c>
      <c r="F16" t="s">
        <v>63</v>
      </c>
      <c r="G16" t="s">
        <v>64</v>
      </c>
      <c r="H16" s="2" t="s">
        <v>101</v>
      </c>
    </row>
    <row r="17" spans="1:8" ht="51" x14ac:dyDescent="0.2">
      <c r="A17" t="s">
        <v>51</v>
      </c>
      <c r="B17" s="3" t="s">
        <v>23</v>
      </c>
      <c r="C17" s="3" t="s">
        <v>26</v>
      </c>
      <c r="D17" s="2" t="s">
        <v>79</v>
      </c>
      <c r="E17" t="s">
        <v>108</v>
      </c>
      <c r="F17" t="s">
        <v>63</v>
      </c>
      <c r="G17" t="s">
        <v>64</v>
      </c>
      <c r="H17" s="5"/>
    </row>
    <row r="18" spans="1:8" ht="68" x14ac:dyDescent="0.2">
      <c r="A18" t="s">
        <v>52</v>
      </c>
      <c r="B18" s="3" t="s">
        <v>23</v>
      </c>
      <c r="C18" s="3" t="s">
        <v>27</v>
      </c>
      <c r="D18" s="2" t="s">
        <v>80</v>
      </c>
      <c r="E18" t="s">
        <v>108</v>
      </c>
      <c r="F18" t="s">
        <v>63</v>
      </c>
      <c r="G18" t="s">
        <v>64</v>
      </c>
      <c r="H18" s="5"/>
    </row>
    <row r="19" spans="1:8" ht="34" x14ac:dyDescent="0.2">
      <c r="A19" t="s">
        <v>53</v>
      </c>
      <c r="B19" s="3" t="s">
        <v>28</v>
      </c>
      <c r="C19" s="3" t="s">
        <v>29</v>
      </c>
      <c r="D19" s="2" t="s">
        <v>81</v>
      </c>
      <c r="E19" t="s">
        <v>108</v>
      </c>
      <c r="F19" t="s">
        <v>63</v>
      </c>
      <c r="G19" t="s">
        <v>64</v>
      </c>
      <c r="H19" s="5"/>
    </row>
    <row r="20" spans="1:8" ht="51" x14ac:dyDescent="0.2">
      <c r="A20" t="s">
        <v>54</v>
      </c>
      <c r="B20" s="3" t="s">
        <v>28</v>
      </c>
      <c r="C20" s="3" t="s">
        <v>30</v>
      </c>
      <c r="D20" s="2" t="s">
        <v>82</v>
      </c>
      <c r="E20" t="s">
        <v>108</v>
      </c>
      <c r="F20" t="s">
        <v>63</v>
      </c>
      <c r="G20" t="s">
        <v>64</v>
      </c>
      <c r="H20" s="5"/>
    </row>
    <row r="21" spans="1:8" ht="68" x14ac:dyDescent="0.2">
      <c r="A21" t="s">
        <v>55</v>
      </c>
      <c r="B21" s="3" t="s">
        <v>28</v>
      </c>
      <c r="C21" s="3" t="s">
        <v>31</v>
      </c>
      <c r="D21" s="2" t="s">
        <v>83</v>
      </c>
      <c r="E21" t="s">
        <v>108</v>
      </c>
      <c r="F21" t="s">
        <v>63</v>
      </c>
      <c r="G21" t="s">
        <v>64</v>
      </c>
      <c r="H21" s="2" t="s">
        <v>102</v>
      </c>
    </row>
    <row r="22" spans="1:8" ht="68" x14ac:dyDescent="0.2">
      <c r="A22" t="s">
        <v>56</v>
      </c>
      <c r="B22" s="3" t="s">
        <v>28</v>
      </c>
      <c r="C22" s="3" t="s">
        <v>32</v>
      </c>
      <c r="D22" s="2" t="s">
        <v>84</v>
      </c>
      <c r="E22" t="s">
        <v>108</v>
      </c>
      <c r="F22" t="s">
        <v>63</v>
      </c>
      <c r="G22" t="s">
        <v>64</v>
      </c>
      <c r="H22" s="5"/>
    </row>
    <row r="23" spans="1:8" ht="34" x14ac:dyDescent="0.2">
      <c r="A23" t="s">
        <v>57</v>
      </c>
      <c r="B23" s="3" t="s">
        <v>33</v>
      </c>
      <c r="C23" s="3" t="s">
        <v>34</v>
      </c>
      <c r="D23" s="2" t="s">
        <v>98</v>
      </c>
      <c r="E23" t="s">
        <v>108</v>
      </c>
      <c r="F23" t="s">
        <v>63</v>
      </c>
      <c r="G23" t="s">
        <v>64</v>
      </c>
      <c r="H23" s="5"/>
    </row>
    <row r="24" spans="1:8" ht="51" x14ac:dyDescent="0.2">
      <c r="A24" t="s">
        <v>58</v>
      </c>
      <c r="B24" s="3" t="s">
        <v>33</v>
      </c>
      <c r="C24" s="3" t="s">
        <v>35</v>
      </c>
      <c r="D24" s="2" t="s">
        <v>85</v>
      </c>
      <c r="E24" t="s">
        <v>108</v>
      </c>
      <c r="F24" t="s">
        <v>63</v>
      </c>
      <c r="G24" t="s">
        <v>64</v>
      </c>
      <c r="H24" s="5"/>
    </row>
    <row r="25" spans="1:8" ht="34" x14ac:dyDescent="0.2">
      <c r="A25" t="s">
        <v>59</v>
      </c>
      <c r="B25" s="3" t="s">
        <v>33</v>
      </c>
      <c r="C25" s="3" t="s">
        <v>36</v>
      </c>
      <c r="D25" s="2" t="s">
        <v>86</v>
      </c>
      <c r="E25" t="s">
        <v>108</v>
      </c>
      <c r="F25" t="s">
        <v>63</v>
      </c>
      <c r="G25" t="s">
        <v>64</v>
      </c>
      <c r="H25" s="5"/>
    </row>
    <row r="26" spans="1:8" ht="51" x14ac:dyDescent="0.2">
      <c r="A26" t="s">
        <v>60</v>
      </c>
      <c r="B26" s="3" t="s">
        <v>33</v>
      </c>
      <c r="C26" s="3" t="s">
        <v>37</v>
      </c>
      <c r="D26" s="2" t="s">
        <v>87</v>
      </c>
      <c r="E26" t="s">
        <v>108</v>
      </c>
      <c r="F26" t="s">
        <v>63</v>
      </c>
      <c r="G26" t="s">
        <v>64</v>
      </c>
      <c r="H26" s="5"/>
    </row>
    <row r="27" spans="1:8" ht="68" x14ac:dyDescent="0.2">
      <c r="A27" t="s">
        <v>61</v>
      </c>
      <c r="B27" s="3" t="s">
        <v>38</v>
      </c>
      <c r="C27" s="1" t="s">
        <v>97</v>
      </c>
      <c r="D27" s="2" t="s">
        <v>88</v>
      </c>
      <c r="E27" t="s">
        <v>108</v>
      </c>
      <c r="F27" t="s">
        <v>63</v>
      </c>
      <c r="G27" t="s">
        <v>64</v>
      </c>
      <c r="H27" s="2" t="s">
        <v>103</v>
      </c>
    </row>
    <row r="28" spans="1:8" ht="102" x14ac:dyDescent="0.2">
      <c r="A28" t="s">
        <v>62</v>
      </c>
      <c r="B28" s="3" t="s">
        <v>38</v>
      </c>
      <c r="C28" s="3" t="s">
        <v>134</v>
      </c>
      <c r="D28" s="2" t="s">
        <v>99</v>
      </c>
      <c r="E28" t="s">
        <v>108</v>
      </c>
      <c r="F28" t="s">
        <v>63</v>
      </c>
      <c r="G28" t="s">
        <v>64</v>
      </c>
      <c r="H28" s="5"/>
    </row>
    <row r="29" spans="1:8" ht="85" x14ac:dyDescent="0.2">
      <c r="A29" t="s">
        <v>133</v>
      </c>
      <c r="B29" s="1" t="s">
        <v>91</v>
      </c>
      <c r="C29" s="1" t="s">
        <v>91</v>
      </c>
      <c r="D29" s="2" t="s">
        <v>92</v>
      </c>
      <c r="E29" t="s">
        <v>131</v>
      </c>
      <c r="F29" t="s">
        <v>132</v>
      </c>
      <c r="G29" t="s">
        <v>64</v>
      </c>
      <c r="H29" s="5"/>
    </row>
    <row r="30" spans="1:8" x14ac:dyDescent="0.2">
      <c r="A30" t="s">
        <v>41</v>
      </c>
      <c r="G30">
        <f>SUBTOTAL(103,Table1[Include in final survey])</f>
        <v>28</v>
      </c>
    </row>
  </sheetData>
  <phoneticPr fontId="5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DC58-A4BF-C741-9F35-964A9AB21927}">
  <dimension ref="A1:K48"/>
  <sheetViews>
    <sheetView zoomScale="75" zoomScaleNormal="90" workbookViewId="0">
      <pane ySplit="1" topLeftCell="A34" activePane="bottomLeft" state="frozen"/>
      <selection pane="bottomLeft" activeCell="G53" sqref="G53"/>
    </sheetView>
  </sheetViews>
  <sheetFormatPr baseColWidth="10" defaultRowHeight="16" x14ac:dyDescent="0.2"/>
  <cols>
    <col min="1" max="1" width="15.5" bestFit="1" customWidth="1"/>
    <col min="2" max="2" width="18.6640625" bestFit="1" customWidth="1"/>
    <col min="3" max="3" width="28" bestFit="1" customWidth="1"/>
    <col min="4" max="4" width="78.6640625" bestFit="1" customWidth="1"/>
    <col min="5" max="5" width="11.5" bestFit="1" customWidth="1"/>
    <col min="6" max="6" width="17.33203125" customWidth="1"/>
    <col min="7" max="7" width="25.83203125" bestFit="1" customWidth="1"/>
    <col min="8" max="8" width="14.5" bestFit="1" customWidth="1"/>
    <col min="9" max="9" width="30.1640625" bestFit="1" customWidth="1"/>
    <col min="10" max="10" width="24.83203125" bestFit="1" customWidth="1"/>
    <col min="11" max="11" width="15.1640625" customWidth="1"/>
  </cols>
  <sheetData>
    <row r="1" spans="1:11" ht="17" x14ac:dyDescent="0.2">
      <c r="A1" t="s">
        <v>0</v>
      </c>
      <c r="B1" t="s">
        <v>126</v>
      </c>
      <c r="C1" t="s">
        <v>127</v>
      </c>
      <c r="D1" t="s">
        <v>8</v>
      </c>
      <c r="E1" t="s">
        <v>128</v>
      </c>
      <c r="F1" t="s">
        <v>129</v>
      </c>
      <c r="G1" s="2" t="s">
        <v>137</v>
      </c>
      <c r="H1" t="s">
        <v>138</v>
      </c>
      <c r="I1" s="2" t="s">
        <v>130</v>
      </c>
      <c r="J1" t="s">
        <v>7</v>
      </c>
      <c r="K1" s="2" t="s">
        <v>259</v>
      </c>
    </row>
    <row r="2" spans="1:11" ht="51" x14ac:dyDescent="0.2">
      <c r="A2" t="str">
        <f>Construct_Item_Map!$A2</f>
        <v>ovl_01</v>
      </c>
      <c r="B2" t="s">
        <v>139</v>
      </c>
      <c r="C2" t="str">
        <f>Table1[[#This Row],[Facet]]</f>
        <v>Overall</v>
      </c>
      <c r="D2" t="str">
        <f>Table1[[#This Row],[Survey item]]</f>
        <v>Overall, I have a positive experience working at this organization.</v>
      </c>
      <c r="E2" s="7" t="s">
        <v>146</v>
      </c>
      <c r="F2" s="2" t="s">
        <v>140</v>
      </c>
      <c r="G2" s="2" t="s">
        <v>142</v>
      </c>
      <c r="H2" t="s">
        <v>143</v>
      </c>
      <c r="I2" s="2" t="s">
        <v>144</v>
      </c>
      <c r="J2" s="2" t="s">
        <v>147</v>
      </c>
      <c r="K2" s="2"/>
    </row>
    <row r="3" spans="1:11" ht="17" x14ac:dyDescent="0.2">
      <c r="A3" t="str">
        <f>Construct_Item_Map!$A3</f>
        <v>eng_01</v>
      </c>
      <c r="B3" t="s">
        <v>139</v>
      </c>
      <c r="C3" t="str">
        <f>Table1[[#This Row],[Facet]]</f>
        <v>Motivation</v>
      </c>
      <c r="D3" t="str">
        <f>Table1[[#This Row],[Survey item]]</f>
        <v>I feel motivated to do my best work.</v>
      </c>
      <c r="E3" s="7" t="s">
        <v>146</v>
      </c>
      <c r="F3" s="2" t="s">
        <v>140</v>
      </c>
      <c r="G3" s="2" t="s">
        <v>142</v>
      </c>
      <c r="H3" t="s">
        <v>143</v>
      </c>
      <c r="I3" s="2" t="s">
        <v>144</v>
      </c>
      <c r="J3" s="2" t="s">
        <v>148</v>
      </c>
      <c r="K3" s="2"/>
    </row>
    <row r="4" spans="1:11" ht="17" x14ac:dyDescent="0.2">
      <c r="A4" t="str">
        <f>Construct_Item_Map!$A4</f>
        <v>eng_02</v>
      </c>
      <c r="B4" t="s">
        <v>139</v>
      </c>
      <c r="C4" t="str">
        <f>Table1[[#This Row],[Facet]]</f>
        <v>Energy</v>
      </c>
      <c r="D4" t="str">
        <f>Table1[[#This Row],[Survey item]]</f>
        <v>I feel energized by the work I do.</v>
      </c>
      <c r="E4" s="7" t="s">
        <v>146</v>
      </c>
      <c r="F4" s="2" t="s">
        <v>140</v>
      </c>
      <c r="G4" s="2" t="s">
        <v>142</v>
      </c>
      <c r="H4" t="s">
        <v>143</v>
      </c>
      <c r="I4" s="2" t="s">
        <v>144</v>
      </c>
      <c r="J4" s="2" t="s">
        <v>148</v>
      </c>
      <c r="K4" s="2"/>
    </row>
    <row r="5" spans="1:11" ht="17" x14ac:dyDescent="0.2">
      <c r="A5" t="str">
        <f>Construct_Item_Map!$A5</f>
        <v>eng_03</v>
      </c>
      <c r="B5" t="s">
        <v>139</v>
      </c>
      <c r="C5" t="str">
        <f>Table1[[#This Row],[Facet]]</f>
        <v>Accomplishment</v>
      </c>
      <c r="D5" t="str">
        <f>Table1[[#This Row],[Survey item]]</f>
        <v>My work gives me a sense of accomplishment.</v>
      </c>
      <c r="E5" s="7" t="s">
        <v>146</v>
      </c>
      <c r="F5" s="2" t="s">
        <v>140</v>
      </c>
      <c r="G5" s="2" t="s">
        <v>142</v>
      </c>
      <c r="H5" t="s">
        <v>143</v>
      </c>
      <c r="I5" s="2" t="s">
        <v>144</v>
      </c>
      <c r="J5" s="2" t="s">
        <v>148</v>
      </c>
      <c r="K5" s="2"/>
    </row>
    <row r="6" spans="1:11" ht="17" x14ac:dyDescent="0.2">
      <c r="A6" t="str">
        <f>Construct_Item_Map!$A6</f>
        <v>eng_04</v>
      </c>
      <c r="B6" t="s">
        <v>139</v>
      </c>
      <c r="C6" t="str">
        <f>Table1[[#This Row],[Facet]]</f>
        <v>Advocacy</v>
      </c>
      <c r="D6" t="str">
        <f>Table1[[#This Row],[Survey item]]</f>
        <v>I would recommend this organization as a good place to work.</v>
      </c>
      <c r="E6" s="7" t="s">
        <v>146</v>
      </c>
      <c r="F6" s="2" t="s">
        <v>140</v>
      </c>
      <c r="G6" s="2" t="s">
        <v>142</v>
      </c>
      <c r="H6" t="s">
        <v>143</v>
      </c>
      <c r="I6" s="2" t="s">
        <v>144</v>
      </c>
      <c r="J6" s="2" t="s">
        <v>148</v>
      </c>
      <c r="K6" s="2"/>
    </row>
    <row r="7" spans="1:11" ht="17" x14ac:dyDescent="0.2">
      <c r="A7" t="str">
        <f>Construct_Item_Map!$A7</f>
        <v>mgr_01</v>
      </c>
      <c r="B7" t="s">
        <v>139</v>
      </c>
      <c r="C7" t="str">
        <f>Table1[[#This Row],[Facet]]</f>
        <v>Expectations</v>
      </c>
      <c r="D7" t="str">
        <f>Table1[[#This Row],[Survey item]]</f>
        <v>My manager communicates expectations clearly.</v>
      </c>
      <c r="E7" s="7" t="s">
        <v>146</v>
      </c>
      <c r="F7" s="2" t="s">
        <v>140</v>
      </c>
      <c r="G7" s="2" t="s">
        <v>142</v>
      </c>
      <c r="H7" t="s">
        <v>143</v>
      </c>
      <c r="I7" s="2" t="s">
        <v>144</v>
      </c>
      <c r="J7" s="2" t="s">
        <v>148</v>
      </c>
      <c r="K7" s="2"/>
    </row>
    <row r="8" spans="1:11" ht="17" x14ac:dyDescent="0.2">
      <c r="A8" t="str">
        <f>Construct_Item_Map!$A8</f>
        <v>mgr_02</v>
      </c>
      <c r="B8" t="s">
        <v>139</v>
      </c>
      <c r="C8" t="str">
        <f>Table1[[#This Row],[Facet]]</f>
        <v>Feedback</v>
      </c>
      <c r="D8" t="str">
        <f>Table1[[#This Row],[Survey item]]</f>
        <v>My manager provides feedback that helps me improve.</v>
      </c>
      <c r="E8" s="7" t="s">
        <v>146</v>
      </c>
      <c r="F8" s="2" t="s">
        <v>140</v>
      </c>
      <c r="G8" s="2" t="s">
        <v>142</v>
      </c>
      <c r="H8" t="s">
        <v>143</v>
      </c>
      <c r="I8" s="2" t="s">
        <v>144</v>
      </c>
      <c r="J8" s="2" t="s">
        <v>148</v>
      </c>
      <c r="K8" s="2"/>
    </row>
    <row r="9" spans="1:11" ht="17" x14ac:dyDescent="0.2">
      <c r="A9" t="str">
        <f>Construct_Item_Map!$A9</f>
        <v>mgr_03</v>
      </c>
      <c r="B9" t="s">
        <v>139</v>
      </c>
      <c r="C9" t="str">
        <f>Table1[[#This Row],[Facet]]</f>
        <v>Support</v>
      </c>
      <c r="D9" t="str">
        <f>Table1[[#This Row],[Survey item]]</f>
        <v>My manager supports me when I encounter challenges.</v>
      </c>
      <c r="E9" s="7" t="s">
        <v>146</v>
      </c>
      <c r="F9" s="2" t="s">
        <v>140</v>
      </c>
      <c r="G9" s="2" t="s">
        <v>142</v>
      </c>
      <c r="H9" t="s">
        <v>143</v>
      </c>
      <c r="I9" s="2" t="s">
        <v>144</v>
      </c>
      <c r="J9" s="2" t="s">
        <v>148</v>
      </c>
      <c r="K9" s="2"/>
    </row>
    <row r="10" spans="1:11" ht="17" x14ac:dyDescent="0.2">
      <c r="A10" t="str">
        <f>Construct_Item_Map!$A10</f>
        <v>mgr_04</v>
      </c>
      <c r="B10" t="s">
        <v>139</v>
      </c>
      <c r="C10" t="str">
        <f>Table1[[#This Row],[Facet]]</f>
        <v>Fairness</v>
      </c>
      <c r="D10" t="str">
        <f>Table1[[#This Row],[Survey item]]</f>
        <v>My manager treats team members fairly.</v>
      </c>
      <c r="E10" s="7" t="s">
        <v>146</v>
      </c>
      <c r="F10" s="2" t="s">
        <v>140</v>
      </c>
      <c r="G10" s="2" t="s">
        <v>142</v>
      </c>
      <c r="H10" t="s">
        <v>143</v>
      </c>
      <c r="I10" s="2" t="s">
        <v>144</v>
      </c>
      <c r="J10" s="2" t="s">
        <v>148</v>
      </c>
      <c r="K10" s="2"/>
    </row>
    <row r="11" spans="1:11" ht="17" x14ac:dyDescent="0.2">
      <c r="A11" t="str">
        <f>Construct_Item_Map!$A11</f>
        <v>psy_01</v>
      </c>
      <c r="B11" t="s">
        <v>139</v>
      </c>
      <c r="C11" t="str">
        <f>Table1[[#This Row],[Facet]]</f>
        <v>Speaking up</v>
      </c>
      <c r="D11" t="str">
        <f>Table1[[#This Row],[Survey item]]</f>
        <v>I can raise concerns on my team without fear of negative consequences.</v>
      </c>
      <c r="E11" s="7" t="s">
        <v>146</v>
      </c>
      <c r="F11" s="2" t="s">
        <v>140</v>
      </c>
      <c r="G11" s="2" t="s">
        <v>142</v>
      </c>
      <c r="H11" t="s">
        <v>143</v>
      </c>
      <c r="I11" s="2" t="s">
        <v>144</v>
      </c>
      <c r="J11" s="2" t="s">
        <v>148</v>
      </c>
      <c r="K11" s="2"/>
    </row>
    <row r="12" spans="1:11" ht="17" x14ac:dyDescent="0.2">
      <c r="A12" t="str">
        <f>Construct_Item_Map!$A12</f>
        <v>psy_02</v>
      </c>
      <c r="B12" t="s">
        <v>139</v>
      </c>
      <c r="C12" t="str">
        <f>Table1[[#This Row],[Facet]]</f>
        <v>Admitting mistakes</v>
      </c>
      <c r="D12" t="str">
        <f>Table1[[#This Row],[Survey item]]</f>
        <v>People on my team can acknowledge mistakes openly.</v>
      </c>
      <c r="E12" s="7" t="s">
        <v>146</v>
      </c>
      <c r="F12" s="2" t="s">
        <v>140</v>
      </c>
      <c r="G12" s="2" t="s">
        <v>142</v>
      </c>
      <c r="H12" t="s">
        <v>143</v>
      </c>
      <c r="I12" s="2" t="s">
        <v>144</v>
      </c>
      <c r="J12" s="2" t="s">
        <v>148</v>
      </c>
      <c r="K12" s="2"/>
    </row>
    <row r="13" spans="1:11" ht="17" x14ac:dyDescent="0.2">
      <c r="A13" t="str">
        <f>Construct_Item_Map!$A13</f>
        <v>psy_03</v>
      </c>
      <c r="B13" t="s">
        <v>139</v>
      </c>
      <c r="C13" t="str">
        <f>Table1[[#This Row],[Facet]]</f>
        <v>Asking for help</v>
      </c>
      <c r="D13" t="str">
        <f>Table1[[#This Row],[Survey item]]</f>
        <v>I feel comfortable asking members of my team for help.</v>
      </c>
      <c r="E13" s="7" t="s">
        <v>146</v>
      </c>
      <c r="F13" s="2" t="s">
        <v>140</v>
      </c>
      <c r="G13" s="2" t="s">
        <v>142</v>
      </c>
      <c r="H13" t="s">
        <v>143</v>
      </c>
      <c r="I13" s="2" t="s">
        <v>144</v>
      </c>
      <c r="J13" s="2" t="s">
        <v>148</v>
      </c>
      <c r="K13" s="2"/>
    </row>
    <row r="14" spans="1:11" ht="17" x14ac:dyDescent="0.2">
      <c r="A14" t="str">
        <f>Construct_Item_Map!$A14</f>
        <v>psy_04</v>
      </c>
      <c r="B14" t="s">
        <v>139</v>
      </c>
      <c r="C14" t="str">
        <f>Table1[[#This Row],[Facet]]</f>
        <v>Sharing different views</v>
      </c>
      <c r="D14" t="str">
        <f>Table1[[#This Row],[Survey item]]</f>
        <v>Different perspectives are welcomed on my team.</v>
      </c>
      <c r="E14" s="7" t="s">
        <v>146</v>
      </c>
      <c r="F14" s="2" t="s">
        <v>140</v>
      </c>
      <c r="G14" s="2" t="s">
        <v>142</v>
      </c>
      <c r="H14" t="s">
        <v>143</v>
      </c>
      <c r="I14" s="2" t="s">
        <v>144</v>
      </c>
      <c r="J14" s="2" t="s">
        <v>148</v>
      </c>
      <c r="K14" s="2"/>
    </row>
    <row r="15" spans="1:11" ht="17" x14ac:dyDescent="0.2">
      <c r="A15" t="str">
        <f>Construct_Item_Map!$A15</f>
        <v>grwth_01</v>
      </c>
      <c r="B15" t="s">
        <v>139</v>
      </c>
      <c r="C15" t="str">
        <f>Table1[[#This Row],[Facet]]</f>
        <v>Skill development</v>
      </c>
      <c r="D15" t="str">
        <f>Table1[[#This Row],[Survey item]]</f>
        <v>I have opportunities to develop skills that are relevant to my work.</v>
      </c>
      <c r="E15" s="7" t="s">
        <v>146</v>
      </c>
      <c r="F15" s="2" t="s">
        <v>140</v>
      </c>
      <c r="G15" s="2" t="s">
        <v>142</v>
      </c>
      <c r="H15" t="s">
        <v>143</v>
      </c>
      <c r="I15" s="2" t="s">
        <v>144</v>
      </c>
      <c r="J15" s="2" t="s">
        <v>148</v>
      </c>
      <c r="K15" s="2"/>
    </row>
    <row r="16" spans="1:11" ht="17" x14ac:dyDescent="0.2">
      <c r="A16" t="str">
        <f>Construct_Item_Map!$A16</f>
        <v>grwth_02</v>
      </c>
      <c r="B16" t="s">
        <v>139</v>
      </c>
      <c r="C16" t="str">
        <f>Table1[[#This Row],[Facet]]</f>
        <v>Career clarity</v>
      </c>
      <c r="D16" t="str">
        <f>Table1[[#This Row],[Survey item]]</f>
        <v>I understand the career opportunities available to me at this organization.</v>
      </c>
      <c r="E16" s="7" t="s">
        <v>146</v>
      </c>
      <c r="F16" s="2" t="s">
        <v>140</v>
      </c>
      <c r="G16" s="2" t="s">
        <v>142</v>
      </c>
      <c r="H16" t="s">
        <v>143</v>
      </c>
      <c r="I16" s="2" t="s">
        <v>144</v>
      </c>
      <c r="J16" s="2" t="s">
        <v>148</v>
      </c>
      <c r="K16" s="2"/>
    </row>
    <row r="17" spans="1:11" ht="17" x14ac:dyDescent="0.2">
      <c r="A17" t="str">
        <f>Construct_Item_Map!$A17</f>
        <v>grwth_03</v>
      </c>
      <c r="B17" t="s">
        <v>139</v>
      </c>
      <c r="C17" t="str">
        <f>Table1[[#This Row],[Facet]]</f>
        <v>Development support</v>
      </c>
      <c r="D17" t="str">
        <f>Table1[[#This Row],[Survey item]]</f>
        <v>I receive support for my professional development.</v>
      </c>
      <c r="E17" s="7" t="s">
        <v>146</v>
      </c>
      <c r="F17" s="2" t="s">
        <v>140</v>
      </c>
      <c r="G17" s="2" t="s">
        <v>142</v>
      </c>
      <c r="H17" t="s">
        <v>143</v>
      </c>
      <c r="I17" s="2" t="s">
        <v>144</v>
      </c>
      <c r="J17" s="2" t="s">
        <v>148</v>
      </c>
      <c r="K17" s="2"/>
    </row>
    <row r="18" spans="1:11" ht="17" x14ac:dyDescent="0.2">
      <c r="A18" t="str">
        <f>Construct_Item_Map!$A18</f>
        <v>grwth_04</v>
      </c>
      <c r="B18" t="s">
        <v>139</v>
      </c>
      <c r="C18" t="str">
        <f>Table1[[#This Row],[Facet]]</f>
        <v>Future opportunities</v>
      </c>
      <c r="D18" t="str">
        <f>Table1[[#This Row],[Survey item]]</f>
        <v>I can see opportunities for my continued growth at this organization.</v>
      </c>
      <c r="E18" s="7" t="s">
        <v>146</v>
      </c>
      <c r="F18" s="2" t="s">
        <v>140</v>
      </c>
      <c r="G18" s="2" t="s">
        <v>142</v>
      </c>
      <c r="H18" t="s">
        <v>143</v>
      </c>
      <c r="I18" s="2" t="s">
        <v>144</v>
      </c>
      <c r="J18" s="2" t="s">
        <v>148</v>
      </c>
      <c r="K18" s="2"/>
    </row>
    <row r="19" spans="1:11" ht="17" x14ac:dyDescent="0.2">
      <c r="A19" t="str">
        <f>Construct_Item_Map!$A19</f>
        <v>wrk_01</v>
      </c>
      <c r="B19" t="s">
        <v>139</v>
      </c>
      <c r="C19" t="str">
        <f>Table1[[#This Row],[Facet]]</f>
        <v>Manageability</v>
      </c>
      <c r="D19" t="str">
        <f>Table1[[#This Row],[Survey item]]</f>
        <v>My workload is manageable.</v>
      </c>
      <c r="E19" s="7" t="s">
        <v>146</v>
      </c>
      <c r="F19" s="2" t="s">
        <v>140</v>
      </c>
      <c r="G19" s="2" t="s">
        <v>142</v>
      </c>
      <c r="H19" t="s">
        <v>143</v>
      </c>
      <c r="I19" s="2" t="s">
        <v>144</v>
      </c>
      <c r="J19" s="2" t="s">
        <v>148</v>
      </c>
      <c r="K19" s="2"/>
    </row>
    <row r="20" spans="1:11" ht="17" x14ac:dyDescent="0.2">
      <c r="A20" t="str">
        <f>Construct_Item_Map!$A20</f>
        <v>wrk_02</v>
      </c>
      <c r="B20" t="s">
        <v>139</v>
      </c>
      <c r="C20" t="str">
        <f>Table1[[#This Row],[Facet]]</f>
        <v>Time</v>
      </c>
      <c r="D20" t="str">
        <f>Table1[[#This Row],[Survey item]]</f>
        <v>I have enough time to complete my work effectively.</v>
      </c>
      <c r="E20" s="7" t="s">
        <v>146</v>
      </c>
      <c r="F20" s="2" t="s">
        <v>140</v>
      </c>
      <c r="G20" s="2" t="s">
        <v>142</v>
      </c>
      <c r="H20" t="s">
        <v>143</v>
      </c>
      <c r="I20" s="2" t="s">
        <v>144</v>
      </c>
      <c r="J20" s="2" t="s">
        <v>148</v>
      </c>
      <c r="K20" s="2"/>
    </row>
    <row r="21" spans="1:11" ht="17" x14ac:dyDescent="0.2">
      <c r="A21" t="str">
        <f>Construct_Item_Map!$A21</f>
        <v>wrk_03</v>
      </c>
      <c r="B21" t="s">
        <v>139</v>
      </c>
      <c r="C21" t="str">
        <f>Table1[[#This Row],[Facet]]</f>
        <v>Staffing/resources</v>
      </c>
      <c r="D21" t="str">
        <f>Table1[[#This Row],[Survey item]]</f>
        <v>I have access to the resources needed to meet my work responsibilities.</v>
      </c>
      <c r="E21" s="7" t="s">
        <v>146</v>
      </c>
      <c r="F21" s="2" t="s">
        <v>140</v>
      </c>
      <c r="G21" s="2" t="s">
        <v>142</v>
      </c>
      <c r="H21" t="s">
        <v>143</v>
      </c>
      <c r="I21" s="2" t="s">
        <v>144</v>
      </c>
      <c r="J21" s="2" t="s">
        <v>148</v>
      </c>
      <c r="K21" s="2"/>
    </row>
    <row r="22" spans="1:11" ht="17" x14ac:dyDescent="0.2">
      <c r="A22" t="str">
        <f>Construct_Item_Map!$A22</f>
        <v>wrk_04</v>
      </c>
      <c r="B22" t="s">
        <v>139</v>
      </c>
      <c r="C22" t="str">
        <f>Table1[[#This Row],[Facet]]</f>
        <v>Sustainable pace</v>
      </c>
      <c r="D22" t="str">
        <f>Table1[[#This Row],[Survey item]]</f>
        <v>I can maintain my current work pace without becoming overwhelmed.</v>
      </c>
      <c r="E22" s="7" t="s">
        <v>146</v>
      </c>
      <c r="F22" s="2" t="s">
        <v>140</v>
      </c>
      <c r="G22" s="2" t="s">
        <v>142</v>
      </c>
      <c r="H22" t="s">
        <v>143</v>
      </c>
      <c r="I22" s="2" t="s">
        <v>144</v>
      </c>
      <c r="J22" s="2" t="s">
        <v>148</v>
      </c>
      <c r="K22" s="2"/>
    </row>
    <row r="23" spans="1:11" ht="17" x14ac:dyDescent="0.2">
      <c r="A23" t="str">
        <f>Construct_Item_Map!$A23</f>
        <v>blg_01</v>
      </c>
      <c r="B23" t="s">
        <v>139</v>
      </c>
      <c r="C23" t="str">
        <f>Table1[[#This Row],[Facet]]</f>
        <v>Inclusion</v>
      </c>
      <c r="D23" t="str">
        <f>Table1[[#This Row],[Survey item]]</f>
        <v>I feel included at this organization.</v>
      </c>
      <c r="E23" s="7" t="s">
        <v>146</v>
      </c>
      <c r="F23" s="2" t="s">
        <v>140</v>
      </c>
      <c r="G23" s="2" t="s">
        <v>142</v>
      </c>
      <c r="H23" t="s">
        <v>143</v>
      </c>
      <c r="I23" s="2" t="s">
        <v>144</v>
      </c>
      <c r="J23" s="2" t="s">
        <v>148</v>
      </c>
      <c r="K23" s="2"/>
    </row>
    <row r="24" spans="1:11" ht="17" x14ac:dyDescent="0.2">
      <c r="A24" t="str">
        <f>Construct_Item_Map!$A24</f>
        <v>blg_02</v>
      </c>
      <c r="B24" t="s">
        <v>139</v>
      </c>
      <c r="C24" t="str">
        <f>Table1[[#This Row],[Facet]]</f>
        <v>Respect</v>
      </c>
      <c r="D24" t="str">
        <f>Table1[[#This Row],[Survey item]]</f>
        <v>I feel respected by the people I work with.</v>
      </c>
      <c r="E24" s="7" t="s">
        <v>146</v>
      </c>
      <c r="F24" s="2" t="s">
        <v>140</v>
      </c>
      <c r="G24" s="2" t="s">
        <v>142</v>
      </c>
      <c r="H24" t="s">
        <v>143</v>
      </c>
      <c r="I24" s="2" t="s">
        <v>144</v>
      </c>
      <c r="J24" s="2" t="s">
        <v>148</v>
      </c>
      <c r="K24" s="2"/>
    </row>
    <row r="25" spans="1:11" ht="17" x14ac:dyDescent="0.2">
      <c r="A25" t="str">
        <f>Construct_Item_Map!$A25</f>
        <v>blg_03</v>
      </c>
      <c r="B25" t="s">
        <v>139</v>
      </c>
      <c r="C25" t="str">
        <f>Table1[[#This Row],[Facet]]</f>
        <v>Authenticity</v>
      </c>
      <c r="D25" t="str">
        <f>Table1[[#This Row],[Survey item]]</f>
        <v>I feel comfortable being myself at work.</v>
      </c>
      <c r="E25" s="7" t="s">
        <v>146</v>
      </c>
      <c r="F25" s="2" t="s">
        <v>140</v>
      </c>
      <c r="G25" s="2" t="s">
        <v>142</v>
      </c>
      <c r="H25" t="s">
        <v>143</v>
      </c>
      <c r="I25" s="2" t="s">
        <v>144</v>
      </c>
      <c r="J25" s="2" t="s">
        <v>148</v>
      </c>
      <c r="K25" s="2"/>
    </row>
    <row r="26" spans="1:11" ht="17" x14ac:dyDescent="0.2">
      <c r="A26" t="str">
        <f>Construct_Item_Map!$A26</f>
        <v>blg_04</v>
      </c>
      <c r="B26" t="s">
        <v>139</v>
      </c>
      <c r="C26" t="str">
        <f>Table1[[#This Row],[Facet]]</f>
        <v>Connection</v>
      </c>
      <c r="D26" t="str">
        <f>Table1[[#This Row],[Survey item]]</f>
        <v>I feel connected to the people in this organization.</v>
      </c>
      <c r="E26" s="7" t="s">
        <v>146</v>
      </c>
      <c r="F26" s="2" t="s">
        <v>140</v>
      </c>
      <c r="G26" s="2" t="s">
        <v>142</v>
      </c>
      <c r="H26" t="s">
        <v>143</v>
      </c>
      <c r="I26" s="2" t="s">
        <v>144</v>
      </c>
      <c r="J26" s="2" t="s">
        <v>148</v>
      </c>
      <c r="K26" s="2"/>
    </row>
    <row r="27" spans="1:11" ht="34" x14ac:dyDescent="0.2">
      <c r="A27" t="str">
        <f>Construct_Item_Map!$A27</f>
        <v>its_01</v>
      </c>
      <c r="B27" t="s">
        <v>139</v>
      </c>
      <c r="C27" t="str">
        <f>Table1[[#This Row],[Facet]]</f>
        <v>Expected continued employment</v>
      </c>
      <c r="D27" t="str">
        <f>Table1[[#This Row],[Survey item]]</f>
        <v>I expect to still be working at this organization one year from now.</v>
      </c>
      <c r="E27" s="7" t="s">
        <v>146</v>
      </c>
      <c r="F27" s="2" t="s">
        <v>140</v>
      </c>
      <c r="G27" s="2" t="s">
        <v>142</v>
      </c>
      <c r="H27" t="s">
        <v>143</v>
      </c>
      <c r="I27" s="2" t="s">
        <v>144</v>
      </c>
      <c r="J27" s="2" t="s">
        <v>149</v>
      </c>
      <c r="K27" s="2"/>
    </row>
    <row r="28" spans="1:11" ht="34" x14ac:dyDescent="0.2">
      <c r="A28" t="str">
        <f>Construct_Item_Map!$A28</f>
        <v>its_02</v>
      </c>
      <c r="B28" t="s">
        <v>139</v>
      </c>
      <c r="C28" t="str">
        <f>Table1[[#This Row],[Facet]]</f>
        <v>Preference to remain</v>
      </c>
      <c r="D28" t="str">
        <f>Table1[[#This Row],[Survey item]]</f>
        <v>I would prefer to continue working at this organization rather than seek employment elsewhere.</v>
      </c>
      <c r="E28" s="7" t="s">
        <v>146</v>
      </c>
      <c r="F28" s="2" t="s">
        <v>140</v>
      </c>
      <c r="G28" s="2" t="s">
        <v>142</v>
      </c>
      <c r="H28" t="s">
        <v>143</v>
      </c>
      <c r="I28" s="2" t="s">
        <v>144</v>
      </c>
      <c r="J28" s="2" t="s">
        <v>149</v>
      </c>
      <c r="K28" s="2"/>
    </row>
    <row r="29" spans="1:11" ht="51" x14ac:dyDescent="0.2">
      <c r="A29" t="str">
        <f>Construct_Item_Map!$A29</f>
        <v>comment_01</v>
      </c>
      <c r="B29" t="s">
        <v>139</v>
      </c>
      <c r="C29" t="str">
        <f>Table1[[#This Row],[Facet]]</f>
        <v>Open-ended</v>
      </c>
      <c r="D29" t="str">
        <f>Table1[[#This Row],[Survey item]]</f>
        <v>What is one thing this organization could do to improve your experience at work?</v>
      </c>
      <c r="E29" t="s">
        <v>151</v>
      </c>
      <c r="F29" s="2" t="s">
        <v>141</v>
      </c>
      <c r="G29" s="2" t="s">
        <v>142</v>
      </c>
      <c r="H29" t="s">
        <v>143</v>
      </c>
      <c r="I29" s="2" t="s">
        <v>145</v>
      </c>
      <c r="J29" s="2" t="s">
        <v>150</v>
      </c>
      <c r="K29" s="2"/>
    </row>
    <row r="30" spans="1:11" ht="51" x14ac:dyDescent="0.2">
      <c r="A30" s="8" t="s">
        <v>153</v>
      </c>
      <c r="B30" t="s">
        <v>152</v>
      </c>
      <c r="C30" s="8" t="s">
        <v>154</v>
      </c>
      <c r="D30" s="8" t="s">
        <v>239</v>
      </c>
      <c r="E30" t="s">
        <v>151</v>
      </c>
      <c r="F30" s="2" t="s">
        <v>155</v>
      </c>
      <c r="G30" s="2" t="s">
        <v>156</v>
      </c>
      <c r="H30" t="s">
        <v>157</v>
      </c>
      <c r="I30" s="2" t="s">
        <v>158</v>
      </c>
      <c r="J30" s="2" t="s">
        <v>159</v>
      </c>
      <c r="K30" s="10" t="s">
        <v>193</v>
      </c>
    </row>
    <row r="31" spans="1:11" ht="51" x14ac:dyDescent="0.2">
      <c r="A31" s="8" t="s">
        <v>160</v>
      </c>
      <c r="B31" t="s">
        <v>152</v>
      </c>
      <c r="C31" s="8" t="s">
        <v>161</v>
      </c>
      <c r="D31" s="8" t="s">
        <v>240</v>
      </c>
      <c r="E31" t="s">
        <v>151</v>
      </c>
      <c r="F31" s="2" t="s">
        <v>162</v>
      </c>
      <c r="G31" s="2" t="s">
        <v>156</v>
      </c>
      <c r="H31" t="s">
        <v>157</v>
      </c>
      <c r="I31" s="2" t="s">
        <v>163</v>
      </c>
      <c r="J31" s="2" t="s">
        <v>164</v>
      </c>
      <c r="K31" s="10" t="s">
        <v>193</v>
      </c>
    </row>
    <row r="32" spans="1:11" ht="51" x14ac:dyDescent="0.2">
      <c r="A32" s="8" t="s">
        <v>165</v>
      </c>
      <c r="B32" t="s">
        <v>152</v>
      </c>
      <c r="C32" s="8" t="s">
        <v>166</v>
      </c>
      <c r="D32" s="8" t="s">
        <v>241</v>
      </c>
      <c r="E32" t="s">
        <v>118</v>
      </c>
      <c r="F32" s="2" t="s">
        <v>167</v>
      </c>
      <c r="G32" s="2" t="s">
        <v>156</v>
      </c>
      <c r="H32" t="s">
        <v>157</v>
      </c>
      <c r="I32" s="2" t="s">
        <v>163</v>
      </c>
      <c r="J32" s="2" t="s">
        <v>168</v>
      </c>
      <c r="K32" s="10" t="s">
        <v>193</v>
      </c>
    </row>
    <row r="33" spans="1:11" ht="68" x14ac:dyDescent="0.2">
      <c r="A33" s="8" t="s">
        <v>169</v>
      </c>
      <c r="B33" t="s">
        <v>152</v>
      </c>
      <c r="C33" s="8" t="s">
        <v>170</v>
      </c>
      <c r="D33" s="8" t="s">
        <v>242</v>
      </c>
      <c r="E33" t="s">
        <v>151</v>
      </c>
      <c r="F33" s="2" t="s">
        <v>171</v>
      </c>
      <c r="G33" s="2" t="s">
        <v>176</v>
      </c>
      <c r="H33" t="s">
        <v>157</v>
      </c>
      <c r="I33" s="2" t="s">
        <v>144</v>
      </c>
      <c r="J33" s="2" t="s">
        <v>172</v>
      </c>
      <c r="K33" s="11" t="s">
        <v>194</v>
      </c>
    </row>
    <row r="34" spans="1:11" ht="153" x14ac:dyDescent="0.2">
      <c r="A34" s="8" t="s">
        <v>173</v>
      </c>
      <c r="B34" t="s">
        <v>152</v>
      </c>
      <c r="C34" s="8" t="s">
        <v>174</v>
      </c>
      <c r="D34" s="8" t="s">
        <v>243</v>
      </c>
      <c r="E34" t="s">
        <v>151</v>
      </c>
      <c r="F34" s="2" t="s">
        <v>175</v>
      </c>
      <c r="G34" s="2" t="s">
        <v>176</v>
      </c>
      <c r="H34" t="s">
        <v>157</v>
      </c>
      <c r="I34" s="2" t="s">
        <v>144</v>
      </c>
      <c r="J34" s="2" t="s">
        <v>177</v>
      </c>
      <c r="K34" s="11" t="s">
        <v>194</v>
      </c>
    </row>
    <row r="35" spans="1:11" ht="85" x14ac:dyDescent="0.2">
      <c r="A35" s="8" t="s">
        <v>178</v>
      </c>
      <c r="B35" t="s">
        <v>152</v>
      </c>
      <c r="C35" s="8" t="s">
        <v>179</v>
      </c>
      <c r="D35" s="8" t="s">
        <v>244</v>
      </c>
      <c r="E35" t="s">
        <v>151</v>
      </c>
      <c r="F35" s="2" t="s">
        <v>180</v>
      </c>
      <c r="G35" s="2" t="s">
        <v>176</v>
      </c>
      <c r="H35" t="s">
        <v>157</v>
      </c>
      <c r="I35" s="2" t="s">
        <v>144</v>
      </c>
      <c r="J35" s="2" t="s">
        <v>181</v>
      </c>
      <c r="K35" s="11" t="s">
        <v>194</v>
      </c>
    </row>
    <row r="36" spans="1:11" ht="51" x14ac:dyDescent="0.2">
      <c r="A36" s="8" t="s">
        <v>182</v>
      </c>
      <c r="B36" t="s">
        <v>152</v>
      </c>
      <c r="C36" s="8" t="s">
        <v>183</v>
      </c>
      <c r="D36" s="8" t="s">
        <v>245</v>
      </c>
      <c r="E36" t="s">
        <v>151</v>
      </c>
      <c r="F36" s="2" t="s">
        <v>184</v>
      </c>
      <c r="G36" s="2" t="s">
        <v>176</v>
      </c>
      <c r="H36" t="s">
        <v>157</v>
      </c>
      <c r="I36" s="2" t="s">
        <v>144</v>
      </c>
      <c r="J36" s="2" t="s">
        <v>185</v>
      </c>
      <c r="K36" s="11" t="s">
        <v>194</v>
      </c>
    </row>
    <row r="37" spans="1:11" ht="34" x14ac:dyDescent="0.2">
      <c r="A37" s="8" t="s">
        <v>186</v>
      </c>
      <c r="B37" t="s">
        <v>152</v>
      </c>
      <c r="C37" s="8" t="s">
        <v>187</v>
      </c>
      <c r="D37" s="8" t="s">
        <v>246</v>
      </c>
      <c r="E37" t="s">
        <v>151</v>
      </c>
      <c r="F37" s="2" t="s">
        <v>188</v>
      </c>
      <c r="G37" s="2" t="s">
        <v>176</v>
      </c>
      <c r="H37" t="s">
        <v>157</v>
      </c>
      <c r="I37" s="2" t="s">
        <v>144</v>
      </c>
      <c r="J37" s="2" t="s">
        <v>189</v>
      </c>
      <c r="K37" s="11" t="s">
        <v>194</v>
      </c>
    </row>
    <row r="38" spans="1:11" ht="34" x14ac:dyDescent="0.2">
      <c r="A38" s="8" t="s">
        <v>190</v>
      </c>
      <c r="B38" t="s">
        <v>152</v>
      </c>
      <c r="C38" s="8" t="s">
        <v>191</v>
      </c>
      <c r="D38" s="8" t="s">
        <v>247</v>
      </c>
      <c r="E38" t="s">
        <v>151</v>
      </c>
      <c r="F38" s="2" t="s">
        <v>316</v>
      </c>
      <c r="G38" s="2" t="s">
        <v>176</v>
      </c>
      <c r="H38" t="s">
        <v>157</v>
      </c>
      <c r="I38" s="2" t="s">
        <v>144</v>
      </c>
      <c r="J38" s="2" t="s">
        <v>192</v>
      </c>
      <c r="K38" s="11" t="s">
        <v>194</v>
      </c>
    </row>
    <row r="39" spans="1:11" ht="34" x14ac:dyDescent="0.2">
      <c r="A39" s="8" t="s">
        <v>195</v>
      </c>
      <c r="B39" t="s">
        <v>152</v>
      </c>
      <c r="C39" s="8" t="s">
        <v>196</v>
      </c>
      <c r="D39" s="8" t="s">
        <v>248</v>
      </c>
      <c r="E39" t="s">
        <v>118</v>
      </c>
      <c r="F39" s="2" t="s">
        <v>197</v>
      </c>
      <c r="G39" s="2" t="s">
        <v>176</v>
      </c>
      <c r="H39" t="s">
        <v>157</v>
      </c>
      <c r="I39" s="2" t="s">
        <v>158</v>
      </c>
      <c r="J39" s="2" t="s">
        <v>198</v>
      </c>
      <c r="K39" s="11" t="s">
        <v>199</v>
      </c>
    </row>
    <row r="40" spans="1:11" ht="34" x14ac:dyDescent="0.2">
      <c r="A40" s="8" t="s">
        <v>200</v>
      </c>
      <c r="B40" t="s">
        <v>152</v>
      </c>
      <c r="C40" s="8" t="s">
        <v>201</v>
      </c>
      <c r="D40" s="8" t="s">
        <v>249</v>
      </c>
      <c r="E40" t="s">
        <v>202</v>
      </c>
      <c r="F40" s="2" t="s">
        <v>203</v>
      </c>
      <c r="G40" s="2" t="s">
        <v>204</v>
      </c>
      <c r="H40" t="s">
        <v>205</v>
      </c>
      <c r="I40" s="2" t="s">
        <v>144</v>
      </c>
      <c r="J40" s="2" t="s">
        <v>206</v>
      </c>
      <c r="K40" s="11" t="s">
        <v>199</v>
      </c>
    </row>
    <row r="41" spans="1:11" ht="68" x14ac:dyDescent="0.2">
      <c r="A41" s="8" t="s">
        <v>207</v>
      </c>
      <c r="B41" t="s">
        <v>152</v>
      </c>
      <c r="C41" s="8" t="s">
        <v>208</v>
      </c>
      <c r="D41" s="8" t="s">
        <v>250</v>
      </c>
      <c r="E41" t="s">
        <v>151</v>
      </c>
      <c r="F41" s="2" t="s">
        <v>209</v>
      </c>
      <c r="G41" s="2" t="s">
        <v>210</v>
      </c>
      <c r="H41" t="s">
        <v>205</v>
      </c>
      <c r="I41" s="2" t="s">
        <v>144</v>
      </c>
      <c r="J41" s="2" t="s">
        <v>211</v>
      </c>
      <c r="K41" s="11" t="s">
        <v>199</v>
      </c>
    </row>
    <row r="42" spans="1:11" ht="51" x14ac:dyDescent="0.2">
      <c r="A42" s="8" t="s">
        <v>213</v>
      </c>
      <c r="B42" t="s">
        <v>152</v>
      </c>
      <c r="C42" s="8" t="s">
        <v>214</v>
      </c>
      <c r="D42" s="8" t="s">
        <v>251</v>
      </c>
      <c r="E42" t="s">
        <v>146</v>
      </c>
      <c r="F42" s="2" t="s">
        <v>215</v>
      </c>
      <c r="G42" s="2" t="s">
        <v>156</v>
      </c>
      <c r="H42" t="s">
        <v>157</v>
      </c>
      <c r="I42" s="2" t="s">
        <v>144</v>
      </c>
      <c r="J42" s="2" t="s">
        <v>216</v>
      </c>
      <c r="K42" s="11" t="s">
        <v>212</v>
      </c>
    </row>
    <row r="43" spans="1:11" ht="153" x14ac:dyDescent="0.2">
      <c r="A43" s="8" t="s">
        <v>217</v>
      </c>
      <c r="B43" t="s">
        <v>152</v>
      </c>
      <c r="C43" s="8" t="s">
        <v>218</v>
      </c>
      <c r="D43" s="8" t="s">
        <v>252</v>
      </c>
      <c r="E43" t="s">
        <v>151</v>
      </c>
      <c r="F43" s="2" t="s">
        <v>219</v>
      </c>
      <c r="G43" s="2" t="s">
        <v>220</v>
      </c>
      <c r="H43" t="s">
        <v>157</v>
      </c>
      <c r="I43" s="2" t="s">
        <v>144</v>
      </c>
      <c r="J43" s="2" t="s">
        <v>221</v>
      </c>
      <c r="K43" s="11" t="s">
        <v>212</v>
      </c>
    </row>
    <row r="44" spans="1:11" ht="51" x14ac:dyDescent="0.2">
      <c r="A44" s="8" t="s">
        <v>222</v>
      </c>
      <c r="B44" t="s">
        <v>152</v>
      </c>
      <c r="C44" s="8" t="s">
        <v>223</v>
      </c>
      <c r="D44" s="8" t="s">
        <v>253</v>
      </c>
      <c r="E44" t="s">
        <v>146</v>
      </c>
      <c r="F44" s="2" t="s">
        <v>215</v>
      </c>
      <c r="G44" s="2" t="s">
        <v>156</v>
      </c>
      <c r="H44" t="s">
        <v>157</v>
      </c>
      <c r="I44" s="2" t="s">
        <v>144</v>
      </c>
      <c r="J44" s="2" t="s">
        <v>224</v>
      </c>
      <c r="K44" s="11" t="s">
        <v>212</v>
      </c>
    </row>
    <row r="45" spans="1:11" ht="51" x14ac:dyDescent="0.2">
      <c r="A45" s="8" t="s">
        <v>225</v>
      </c>
      <c r="B45" t="s">
        <v>152</v>
      </c>
      <c r="C45" s="8" t="s">
        <v>226</v>
      </c>
      <c r="D45" s="8" t="s">
        <v>254</v>
      </c>
      <c r="E45" t="s">
        <v>146</v>
      </c>
      <c r="F45" s="2" t="s">
        <v>215</v>
      </c>
      <c r="G45" s="2" t="s">
        <v>156</v>
      </c>
      <c r="H45" t="s">
        <v>157</v>
      </c>
      <c r="I45" s="2" t="s">
        <v>144</v>
      </c>
      <c r="J45" s="2" t="s">
        <v>227</v>
      </c>
      <c r="K45" s="11" t="s">
        <v>212</v>
      </c>
    </row>
    <row r="46" spans="1:11" ht="51" x14ac:dyDescent="0.2">
      <c r="A46" s="8" t="s">
        <v>228</v>
      </c>
      <c r="B46" t="s">
        <v>152</v>
      </c>
      <c r="C46" s="8" t="s">
        <v>229</v>
      </c>
      <c r="D46" s="8" t="s">
        <v>255</v>
      </c>
      <c r="E46" t="s">
        <v>118</v>
      </c>
      <c r="F46" s="2" t="s">
        <v>230</v>
      </c>
      <c r="G46" s="2" t="s">
        <v>231</v>
      </c>
      <c r="H46" t="s">
        <v>157</v>
      </c>
      <c r="I46" s="2" t="s">
        <v>158</v>
      </c>
      <c r="J46" s="2" t="s">
        <v>232</v>
      </c>
      <c r="K46" s="11" t="s">
        <v>212</v>
      </c>
    </row>
    <row r="47" spans="1:11" ht="51" x14ac:dyDescent="0.2">
      <c r="A47" s="8" t="s">
        <v>233</v>
      </c>
      <c r="B47" t="s">
        <v>152</v>
      </c>
      <c r="C47" s="8" t="s">
        <v>234</v>
      </c>
      <c r="D47" s="8" t="s">
        <v>256</v>
      </c>
      <c r="E47" t="s">
        <v>146</v>
      </c>
      <c r="F47" s="2" t="s">
        <v>215</v>
      </c>
      <c r="G47" s="2" t="s">
        <v>346</v>
      </c>
      <c r="H47" t="s">
        <v>205</v>
      </c>
      <c r="I47" s="2" t="s">
        <v>144</v>
      </c>
      <c r="J47" s="2" t="s">
        <v>235</v>
      </c>
      <c r="K47" s="11" t="s">
        <v>212</v>
      </c>
    </row>
    <row r="48" spans="1:11" ht="85" x14ac:dyDescent="0.2">
      <c r="A48" s="8" t="s">
        <v>236</v>
      </c>
      <c r="B48" t="s">
        <v>152</v>
      </c>
      <c r="C48" s="8" t="s">
        <v>237</v>
      </c>
      <c r="D48" s="8" t="s">
        <v>257</v>
      </c>
      <c r="E48" t="s">
        <v>151</v>
      </c>
      <c r="F48" s="2" t="s">
        <v>258</v>
      </c>
      <c r="G48" s="2" t="s">
        <v>156</v>
      </c>
      <c r="H48" t="s">
        <v>205</v>
      </c>
      <c r="I48" s="2" t="s">
        <v>144</v>
      </c>
      <c r="J48" s="2" t="s">
        <v>238</v>
      </c>
      <c r="K48" s="11" t="s">
        <v>212</v>
      </c>
    </row>
  </sheetData>
  <phoneticPr fontId="5" type="noConversion"/>
  <pageMargins left="0.7" right="0.7" top="0.75" bottom="0.75" header="0.3" footer="0.3"/>
  <ignoredErrors>
    <ignoredError sqref="A30:B30 A31" calculatedColumn="1"/>
  </ignoredErrors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B106-7888-1940-AF67-576B604CE80C}">
  <dimension ref="A1:D6"/>
  <sheetViews>
    <sheetView zoomScale="140" zoomScaleNormal="140" workbookViewId="0">
      <selection activeCell="D28" sqref="D28"/>
    </sheetView>
  </sheetViews>
  <sheetFormatPr baseColWidth="10" defaultRowHeight="16" x14ac:dyDescent="0.2"/>
  <cols>
    <col min="3" max="3" width="22.6640625" bestFit="1" customWidth="1"/>
    <col min="4" max="4" width="18.5" customWidth="1"/>
  </cols>
  <sheetData>
    <row r="1" spans="1:4" x14ac:dyDescent="0.2">
      <c r="A1" t="s">
        <v>104</v>
      </c>
      <c r="B1" t="s">
        <v>105</v>
      </c>
      <c r="C1" t="s">
        <v>106</v>
      </c>
      <c r="D1" t="s">
        <v>107</v>
      </c>
    </row>
    <row r="2" spans="1:4" x14ac:dyDescent="0.2">
      <c r="A2" t="s">
        <v>108</v>
      </c>
      <c r="B2">
        <v>1</v>
      </c>
      <c r="C2" t="s">
        <v>109</v>
      </c>
      <c r="D2" t="s">
        <v>114</v>
      </c>
    </row>
    <row r="3" spans="1:4" x14ac:dyDescent="0.2">
      <c r="A3" t="s">
        <v>108</v>
      </c>
      <c r="B3">
        <v>2</v>
      </c>
      <c r="C3" t="s">
        <v>110</v>
      </c>
      <c r="D3" t="s">
        <v>114</v>
      </c>
    </row>
    <row r="4" spans="1:4" x14ac:dyDescent="0.2">
      <c r="A4" t="s">
        <v>108</v>
      </c>
      <c r="B4">
        <v>3</v>
      </c>
      <c r="C4" t="s">
        <v>111</v>
      </c>
      <c r="D4" t="s">
        <v>115</v>
      </c>
    </row>
    <row r="5" spans="1:4" x14ac:dyDescent="0.2">
      <c r="A5" t="s">
        <v>108</v>
      </c>
      <c r="B5">
        <v>4</v>
      </c>
      <c r="C5" t="s">
        <v>112</v>
      </c>
      <c r="D5" t="s">
        <v>116</v>
      </c>
    </row>
    <row r="6" spans="1:4" x14ac:dyDescent="0.2">
      <c r="A6" t="s">
        <v>108</v>
      </c>
      <c r="B6">
        <v>5</v>
      </c>
      <c r="C6" t="s">
        <v>113</v>
      </c>
      <c r="D6" t="s">
        <v>116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CD59-F77F-6C44-9907-8B702B07D7C1}">
  <dimension ref="A2:G97"/>
  <sheetViews>
    <sheetView topLeftCell="A63" zoomScaleNormal="100" workbookViewId="0">
      <selection activeCell="A96" sqref="A96"/>
    </sheetView>
  </sheetViews>
  <sheetFormatPr baseColWidth="10" defaultRowHeight="16" x14ac:dyDescent="0.2"/>
  <cols>
    <col min="1" max="1" width="46.6640625" bestFit="1" customWidth="1"/>
    <col min="2" max="2" width="43.83203125" customWidth="1"/>
    <col min="3" max="3" width="55.5" bestFit="1" customWidth="1"/>
    <col min="4" max="4" width="19.5" customWidth="1"/>
    <col min="6" max="6" width="11.33203125" customWidth="1"/>
  </cols>
  <sheetData>
    <row r="2" spans="1:4" x14ac:dyDescent="0.2">
      <c r="A2" s="3" t="s">
        <v>278</v>
      </c>
    </row>
    <row r="3" spans="1:4" x14ac:dyDescent="0.2">
      <c r="A3" s="3" t="s">
        <v>260</v>
      </c>
      <c r="B3" s="3" t="s">
        <v>261</v>
      </c>
      <c r="C3" s="3" t="s">
        <v>262</v>
      </c>
    </row>
    <row r="4" spans="1:4" x14ac:dyDescent="0.2">
      <c r="A4" t="s">
        <v>161</v>
      </c>
      <c r="B4" t="s">
        <v>261</v>
      </c>
      <c r="C4" t="s">
        <v>262</v>
      </c>
    </row>
    <row r="5" spans="1:4" x14ac:dyDescent="0.2">
      <c r="A5" t="s">
        <v>166</v>
      </c>
      <c r="B5" s="6">
        <v>45945</v>
      </c>
      <c r="C5" s="6">
        <v>46127</v>
      </c>
    </row>
    <row r="6" spans="1:4" x14ac:dyDescent="0.2">
      <c r="A6" t="s">
        <v>263</v>
      </c>
      <c r="B6" s="12">
        <v>3600</v>
      </c>
      <c r="C6" s="12">
        <v>3600</v>
      </c>
    </row>
    <row r="7" spans="1:4" x14ac:dyDescent="0.2">
      <c r="A7" t="s">
        <v>264</v>
      </c>
      <c r="B7" s="9" t="s">
        <v>265</v>
      </c>
      <c r="C7" t="s">
        <v>266</v>
      </c>
    </row>
    <row r="10" spans="1:4" x14ac:dyDescent="0.2">
      <c r="A10" s="3" t="s">
        <v>277</v>
      </c>
    </row>
    <row r="11" spans="1:4" x14ac:dyDescent="0.2">
      <c r="A11" t="s">
        <v>170</v>
      </c>
      <c r="B11" t="s">
        <v>174</v>
      </c>
      <c r="C11" t="s">
        <v>279</v>
      </c>
      <c r="D11" s="14" t="s">
        <v>280</v>
      </c>
    </row>
    <row r="12" spans="1:4" x14ac:dyDescent="0.2">
      <c r="A12" t="s">
        <v>349</v>
      </c>
      <c r="B12" t="s">
        <v>281</v>
      </c>
      <c r="C12">
        <v>700</v>
      </c>
      <c r="D12" s="14">
        <v>0.19400000000000001</v>
      </c>
    </row>
    <row r="13" spans="1:4" x14ac:dyDescent="0.2">
      <c r="A13" t="s">
        <v>349</v>
      </c>
      <c r="B13" t="s">
        <v>282</v>
      </c>
      <c r="C13">
        <v>450</v>
      </c>
      <c r="D13" s="14">
        <v>0.125</v>
      </c>
    </row>
    <row r="14" spans="1:4" x14ac:dyDescent="0.2">
      <c r="A14" t="s">
        <v>349</v>
      </c>
      <c r="B14" t="s">
        <v>283</v>
      </c>
      <c r="C14">
        <v>470</v>
      </c>
      <c r="D14" s="14">
        <v>0.13100000000000001</v>
      </c>
    </row>
    <row r="15" spans="1:4" x14ac:dyDescent="0.2">
      <c r="A15" t="s">
        <v>284</v>
      </c>
      <c r="B15" t="s">
        <v>285</v>
      </c>
      <c r="C15">
        <v>600</v>
      </c>
      <c r="D15" s="14">
        <v>0.16700000000000001</v>
      </c>
    </row>
    <row r="16" spans="1:4" x14ac:dyDescent="0.2">
      <c r="A16" t="s">
        <v>284</v>
      </c>
      <c r="B16" t="s">
        <v>286</v>
      </c>
      <c r="C16">
        <v>270</v>
      </c>
      <c r="D16" s="14">
        <v>7.4999999999999997E-2</v>
      </c>
    </row>
    <row r="17" spans="1:4" x14ac:dyDescent="0.2">
      <c r="A17" t="s">
        <v>284</v>
      </c>
      <c r="B17" t="s">
        <v>287</v>
      </c>
      <c r="C17">
        <v>390</v>
      </c>
      <c r="D17" s="14">
        <v>0.108</v>
      </c>
    </row>
    <row r="18" spans="1:4" x14ac:dyDescent="0.2">
      <c r="A18" t="s">
        <v>288</v>
      </c>
      <c r="B18" t="s">
        <v>289</v>
      </c>
      <c r="C18">
        <v>180</v>
      </c>
      <c r="D18" s="14">
        <v>0.05</v>
      </c>
    </row>
    <row r="19" spans="1:4" x14ac:dyDescent="0.2">
      <c r="A19" t="s">
        <v>288</v>
      </c>
      <c r="B19" t="s">
        <v>290</v>
      </c>
      <c r="C19">
        <v>180</v>
      </c>
      <c r="D19" s="14">
        <v>0.05</v>
      </c>
    </row>
    <row r="20" spans="1:4" x14ac:dyDescent="0.2">
      <c r="A20" t="s">
        <v>288</v>
      </c>
      <c r="B20" t="s">
        <v>291</v>
      </c>
      <c r="C20">
        <v>360</v>
      </c>
      <c r="D20" s="14">
        <v>0.1</v>
      </c>
    </row>
    <row r="21" spans="1:4" x14ac:dyDescent="0.2">
      <c r="A21" t="s">
        <v>41</v>
      </c>
      <c r="C21">
        <f>SUBTOTAL(109,Table6[Target headcount])</f>
        <v>3600</v>
      </c>
      <c r="D21" s="14">
        <f>SUBTOTAL(109,Table6[% of workforce])</f>
        <v>1</v>
      </c>
    </row>
    <row r="23" spans="1:4" x14ac:dyDescent="0.2">
      <c r="A23" s="3" t="s">
        <v>292</v>
      </c>
    </row>
    <row r="24" spans="1:4" x14ac:dyDescent="0.2">
      <c r="A24" t="s">
        <v>179</v>
      </c>
      <c r="B24" t="s">
        <v>293</v>
      </c>
      <c r="C24" t="s">
        <v>294</v>
      </c>
    </row>
    <row r="25" spans="1:4" x14ac:dyDescent="0.2">
      <c r="A25" t="s">
        <v>318</v>
      </c>
      <c r="B25" s="13">
        <v>0.18</v>
      </c>
      <c r="C25">
        <v>648</v>
      </c>
    </row>
    <row r="26" spans="1:4" x14ac:dyDescent="0.2">
      <c r="A26" t="s">
        <v>295</v>
      </c>
      <c r="B26" s="13">
        <v>0.4</v>
      </c>
      <c r="C26">
        <v>1440</v>
      </c>
    </row>
    <row r="27" spans="1:4" x14ac:dyDescent="0.2">
      <c r="A27" t="s">
        <v>296</v>
      </c>
      <c r="B27" s="13">
        <v>0.25</v>
      </c>
      <c r="C27">
        <v>900</v>
      </c>
    </row>
    <row r="28" spans="1:4" x14ac:dyDescent="0.2">
      <c r="A28" t="s">
        <v>297</v>
      </c>
      <c r="B28" s="13">
        <v>0.12</v>
      </c>
      <c r="C28">
        <v>432</v>
      </c>
    </row>
    <row r="29" spans="1:4" x14ac:dyDescent="0.2">
      <c r="A29" t="s">
        <v>298</v>
      </c>
      <c r="B29" s="13">
        <v>0.05</v>
      </c>
      <c r="C29">
        <v>180</v>
      </c>
    </row>
    <row r="30" spans="1:4" x14ac:dyDescent="0.2">
      <c r="A30" t="s">
        <v>41</v>
      </c>
      <c r="B30" s="13">
        <f>SUBTOTAL(109,Table8[Target %])</f>
        <v>1</v>
      </c>
      <c r="C30">
        <f>SUBTOTAL(109,Table8[Approximate headcount])</f>
        <v>3600</v>
      </c>
    </row>
    <row r="32" spans="1:4" x14ac:dyDescent="0.2">
      <c r="A32" s="3" t="s">
        <v>299</v>
      </c>
    </row>
    <row r="33" spans="1:3" x14ac:dyDescent="0.2">
      <c r="A33" t="s">
        <v>208</v>
      </c>
      <c r="B33" t="s">
        <v>293</v>
      </c>
      <c r="C33" t="s">
        <v>294</v>
      </c>
    </row>
    <row r="34" spans="1:3" x14ac:dyDescent="0.2">
      <c r="A34" t="s">
        <v>300</v>
      </c>
      <c r="B34" s="13">
        <v>0.15</v>
      </c>
      <c r="C34">
        <v>540</v>
      </c>
    </row>
    <row r="35" spans="1:3" x14ac:dyDescent="0.2">
      <c r="A35" t="s">
        <v>301</v>
      </c>
      <c r="B35" s="13">
        <v>0.25</v>
      </c>
      <c r="C35">
        <v>900</v>
      </c>
    </row>
    <row r="36" spans="1:3" x14ac:dyDescent="0.2">
      <c r="A36" t="s">
        <v>302</v>
      </c>
      <c r="B36" s="13">
        <v>0.3</v>
      </c>
      <c r="C36">
        <v>1080</v>
      </c>
    </row>
    <row r="37" spans="1:3" x14ac:dyDescent="0.2">
      <c r="A37" t="s">
        <v>303</v>
      </c>
      <c r="B37" s="13">
        <v>0.2</v>
      </c>
      <c r="C37">
        <v>720</v>
      </c>
    </row>
    <row r="38" spans="1:3" x14ac:dyDescent="0.2">
      <c r="A38" t="s">
        <v>304</v>
      </c>
      <c r="B38" s="13">
        <v>0.1</v>
      </c>
      <c r="C38">
        <v>360</v>
      </c>
    </row>
    <row r="39" spans="1:3" x14ac:dyDescent="0.2">
      <c r="A39" t="s">
        <v>41</v>
      </c>
      <c r="B39" s="14">
        <f>SUBTOTAL(109,Table11[Target %])</f>
        <v>0.99999999999999989</v>
      </c>
      <c r="C39">
        <f>SUBTOTAL(109,Table11[Approximate headcount])</f>
        <v>3600</v>
      </c>
    </row>
    <row r="41" spans="1:3" x14ac:dyDescent="0.2">
      <c r="A41" s="3" t="s">
        <v>305</v>
      </c>
    </row>
    <row r="42" spans="1:3" x14ac:dyDescent="0.2">
      <c r="A42" t="s">
        <v>187</v>
      </c>
      <c r="B42" t="s">
        <v>293</v>
      </c>
      <c r="C42" t="s">
        <v>294</v>
      </c>
    </row>
    <row r="43" spans="1:3" x14ac:dyDescent="0.2">
      <c r="A43" t="s">
        <v>308</v>
      </c>
      <c r="B43" s="13">
        <v>0.35</v>
      </c>
      <c r="C43">
        <v>1260</v>
      </c>
    </row>
    <row r="44" spans="1:3" x14ac:dyDescent="0.2">
      <c r="A44" t="s">
        <v>309</v>
      </c>
      <c r="B44" s="13">
        <v>0.4</v>
      </c>
      <c r="C44">
        <v>1440</v>
      </c>
    </row>
    <row r="45" spans="1:3" x14ac:dyDescent="0.2">
      <c r="A45" t="s">
        <v>310</v>
      </c>
      <c r="B45" s="13">
        <v>0.25</v>
      </c>
      <c r="C45">
        <v>900</v>
      </c>
    </row>
    <row r="46" spans="1:3" x14ac:dyDescent="0.2">
      <c r="A46" t="s">
        <v>41</v>
      </c>
      <c r="B46" s="16">
        <f>SUBTOTAL(109,Table12[Target %])</f>
        <v>1</v>
      </c>
      <c r="C46">
        <f>SUBTOTAL(109,Table12[Approximate headcount])</f>
        <v>3600</v>
      </c>
    </row>
    <row r="47" spans="1:3" x14ac:dyDescent="0.2">
      <c r="B47" s="16"/>
    </row>
    <row r="48" spans="1:3" x14ac:dyDescent="0.2">
      <c r="A48" s="3" t="s">
        <v>306</v>
      </c>
    </row>
    <row r="49" spans="1:3" x14ac:dyDescent="0.2">
      <c r="A49" s="3" t="s">
        <v>311</v>
      </c>
      <c r="B49" t="s">
        <v>293</v>
      </c>
      <c r="C49" t="s">
        <v>294</v>
      </c>
    </row>
    <row r="50" spans="1:3" x14ac:dyDescent="0.2">
      <c r="A50" t="s">
        <v>312</v>
      </c>
      <c r="B50" s="13">
        <v>0.28000000000000003</v>
      </c>
      <c r="C50">
        <v>1008</v>
      </c>
    </row>
    <row r="51" spans="1:3" x14ac:dyDescent="0.2">
      <c r="A51" s="1" t="s">
        <v>313</v>
      </c>
      <c r="B51" s="13">
        <v>0.27</v>
      </c>
      <c r="C51">
        <v>972</v>
      </c>
    </row>
    <row r="52" spans="1:3" x14ac:dyDescent="0.2">
      <c r="A52" s="1" t="s">
        <v>314</v>
      </c>
      <c r="B52" s="13">
        <v>0.25</v>
      </c>
      <c r="C52">
        <v>900</v>
      </c>
    </row>
    <row r="53" spans="1:3" x14ac:dyDescent="0.2">
      <c r="A53" s="1" t="s">
        <v>315</v>
      </c>
      <c r="B53" s="13">
        <v>0.2</v>
      </c>
      <c r="C53">
        <v>720</v>
      </c>
    </row>
    <row r="54" spans="1:3" x14ac:dyDescent="0.2">
      <c r="A54" t="s">
        <v>41</v>
      </c>
      <c r="B54" s="15">
        <f>SUBTOTAL(109,Table13[Target %])</f>
        <v>1</v>
      </c>
      <c r="C54">
        <f>SUBTOTAL(109,Table13[Approximate headcount])</f>
        <v>3600</v>
      </c>
    </row>
    <row r="55" spans="1:3" x14ac:dyDescent="0.2">
      <c r="B55" s="15"/>
    </row>
    <row r="56" spans="1:3" x14ac:dyDescent="0.2">
      <c r="A56" s="3" t="s">
        <v>307</v>
      </c>
    </row>
    <row r="57" spans="1:3" x14ac:dyDescent="0.2">
      <c r="A57" t="s">
        <v>179</v>
      </c>
      <c r="B57" t="s">
        <v>317</v>
      </c>
    </row>
    <row r="58" spans="1:3" x14ac:dyDescent="0.2">
      <c r="A58" t="s">
        <v>318</v>
      </c>
      <c r="B58" s="13">
        <v>0</v>
      </c>
    </row>
    <row r="59" spans="1:3" x14ac:dyDescent="0.2">
      <c r="A59" t="s">
        <v>295</v>
      </c>
      <c r="B59" s="13">
        <v>0.02</v>
      </c>
    </row>
    <row r="60" spans="1:3" x14ac:dyDescent="0.2">
      <c r="A60" t="s">
        <v>296</v>
      </c>
      <c r="B60" s="13">
        <v>0.08</v>
      </c>
    </row>
    <row r="61" spans="1:3" x14ac:dyDescent="0.2">
      <c r="A61" t="s">
        <v>297</v>
      </c>
      <c r="B61" s="13">
        <v>0.8</v>
      </c>
    </row>
    <row r="62" spans="1:3" x14ac:dyDescent="0.2">
      <c r="A62" t="s">
        <v>298</v>
      </c>
      <c r="B62" s="13">
        <v>0.9</v>
      </c>
    </row>
    <row r="64" spans="1:3" x14ac:dyDescent="0.2">
      <c r="A64" s="3" t="s">
        <v>319</v>
      </c>
    </row>
    <row r="65" spans="1:5" x14ac:dyDescent="0.2">
      <c r="A65" t="s">
        <v>320</v>
      </c>
      <c r="B65" t="s">
        <v>321</v>
      </c>
      <c r="C65" t="s">
        <v>322</v>
      </c>
    </row>
    <row r="66" spans="1:5" x14ac:dyDescent="0.2">
      <c r="A66" t="s">
        <v>173</v>
      </c>
      <c r="B66" t="s">
        <v>169</v>
      </c>
      <c r="C66" t="s">
        <v>323</v>
      </c>
    </row>
    <row r="67" spans="1:5" x14ac:dyDescent="0.2">
      <c r="A67" t="s">
        <v>178</v>
      </c>
      <c r="B67" t="s">
        <v>173</v>
      </c>
      <c r="C67" t="s">
        <v>324</v>
      </c>
    </row>
    <row r="68" spans="1:5" x14ac:dyDescent="0.2">
      <c r="A68" t="s">
        <v>182</v>
      </c>
      <c r="B68" t="s">
        <v>178</v>
      </c>
      <c r="C68" t="s">
        <v>325</v>
      </c>
    </row>
    <row r="69" spans="1:5" x14ac:dyDescent="0.2">
      <c r="A69" t="s">
        <v>186</v>
      </c>
      <c r="B69" t="s">
        <v>173</v>
      </c>
      <c r="C69" t="s">
        <v>326</v>
      </c>
    </row>
    <row r="70" spans="1:5" x14ac:dyDescent="0.2">
      <c r="A70" t="s">
        <v>195</v>
      </c>
      <c r="B70" t="s">
        <v>327</v>
      </c>
      <c r="C70" t="s">
        <v>328</v>
      </c>
    </row>
    <row r="71" spans="1:5" x14ac:dyDescent="0.2">
      <c r="A71" t="s">
        <v>200</v>
      </c>
      <c r="B71" t="s">
        <v>329</v>
      </c>
      <c r="C71" t="s">
        <v>330</v>
      </c>
    </row>
    <row r="72" spans="1:5" x14ac:dyDescent="0.2">
      <c r="A72" t="s">
        <v>207</v>
      </c>
      <c r="B72" t="s">
        <v>200</v>
      </c>
      <c r="C72" t="s">
        <v>331</v>
      </c>
    </row>
    <row r="73" spans="1:5" x14ac:dyDescent="0.2">
      <c r="A73" t="s">
        <v>213</v>
      </c>
      <c r="B73" t="s">
        <v>332</v>
      </c>
      <c r="C73" t="s">
        <v>333</v>
      </c>
    </row>
    <row r="74" spans="1:5" x14ac:dyDescent="0.2">
      <c r="A74" t="s">
        <v>222</v>
      </c>
      <c r="B74" t="s">
        <v>213</v>
      </c>
      <c r="C74" t="s">
        <v>334</v>
      </c>
    </row>
    <row r="75" spans="1:5" x14ac:dyDescent="0.2">
      <c r="A75" t="s">
        <v>225</v>
      </c>
      <c r="B75" t="s">
        <v>335</v>
      </c>
      <c r="C75" t="s">
        <v>336</v>
      </c>
    </row>
    <row r="76" spans="1:5" x14ac:dyDescent="0.2">
      <c r="A76" t="s">
        <v>233</v>
      </c>
      <c r="B76" t="s">
        <v>337</v>
      </c>
      <c r="C76" t="s">
        <v>338</v>
      </c>
    </row>
    <row r="77" spans="1:5" x14ac:dyDescent="0.2">
      <c r="A77" t="s">
        <v>236</v>
      </c>
      <c r="B77" t="s">
        <v>347</v>
      </c>
      <c r="C77" t="s">
        <v>348</v>
      </c>
    </row>
    <row r="79" spans="1:5" x14ac:dyDescent="0.2">
      <c r="A79" s="3" t="s">
        <v>339</v>
      </c>
    </row>
    <row r="80" spans="1:5" x14ac:dyDescent="0.2">
      <c r="A80" t="s">
        <v>174</v>
      </c>
      <c r="B80" t="s">
        <v>308</v>
      </c>
      <c r="C80" t="s">
        <v>309</v>
      </c>
      <c r="D80" t="s">
        <v>310</v>
      </c>
      <c r="E80" t="s">
        <v>41</v>
      </c>
    </row>
    <row r="81" spans="1:7" x14ac:dyDescent="0.2">
      <c r="A81" t="s">
        <v>281</v>
      </c>
      <c r="B81" s="13">
        <v>0.6</v>
      </c>
      <c r="C81" s="13">
        <v>0.25</v>
      </c>
      <c r="D81" s="13">
        <v>0.15</v>
      </c>
      <c r="E81" s="13">
        <f>SUM(Table16[[#This Row],[On-site]:[Remote]])</f>
        <v>1</v>
      </c>
    </row>
    <row r="82" spans="1:7" x14ac:dyDescent="0.2">
      <c r="A82" t="s">
        <v>282</v>
      </c>
      <c r="B82" s="13">
        <v>0.3</v>
      </c>
      <c r="C82" s="13">
        <v>0.45</v>
      </c>
      <c r="D82" s="13">
        <v>0.25</v>
      </c>
      <c r="E82" s="13">
        <f>SUM(Table16[[#This Row],[On-site]:[Remote]])</f>
        <v>1</v>
      </c>
    </row>
    <row r="83" spans="1:7" x14ac:dyDescent="0.2">
      <c r="A83" t="s">
        <v>283</v>
      </c>
      <c r="B83" s="13">
        <v>0.55000000000000004</v>
      </c>
      <c r="C83" s="13">
        <v>0.3</v>
      </c>
      <c r="D83" s="13">
        <v>0.15</v>
      </c>
      <c r="E83" s="13">
        <f>SUM(Table16[[#This Row],[On-site]:[Remote]])</f>
        <v>1</v>
      </c>
    </row>
    <row r="84" spans="1:7" x14ac:dyDescent="0.2">
      <c r="A84" t="s">
        <v>285</v>
      </c>
      <c r="B84" s="13">
        <v>0.15</v>
      </c>
      <c r="C84" s="13">
        <v>0.55000000000000004</v>
      </c>
      <c r="D84" s="13">
        <v>0.3</v>
      </c>
      <c r="E84" s="13">
        <f>SUM(Table16[[#This Row],[On-site]:[Remote]])</f>
        <v>1</v>
      </c>
    </row>
    <row r="85" spans="1:7" x14ac:dyDescent="0.2">
      <c r="A85" t="s">
        <v>286</v>
      </c>
      <c r="B85" s="13">
        <v>0.1</v>
      </c>
      <c r="C85" s="13">
        <v>0.55000000000000004</v>
      </c>
      <c r="D85" s="13">
        <v>0.35</v>
      </c>
      <c r="E85" s="13">
        <f>SUM(Table16[[#This Row],[On-site]:[Remote]])</f>
        <v>1</v>
      </c>
    </row>
    <row r="86" spans="1:7" x14ac:dyDescent="0.2">
      <c r="A86" t="s">
        <v>287</v>
      </c>
      <c r="B86" s="13">
        <v>0.1</v>
      </c>
      <c r="C86" s="13">
        <v>0.6</v>
      </c>
      <c r="D86" s="13">
        <v>0.3</v>
      </c>
      <c r="E86" s="13">
        <f>SUM(Table16[[#This Row],[On-site]:[Remote]])</f>
        <v>1</v>
      </c>
    </row>
    <row r="87" spans="1:7" x14ac:dyDescent="0.2">
      <c r="A87" t="s">
        <v>289</v>
      </c>
      <c r="B87" s="13">
        <v>0.2</v>
      </c>
      <c r="C87" s="13">
        <v>0.6</v>
      </c>
      <c r="D87" s="13">
        <v>0.2</v>
      </c>
      <c r="E87" s="17">
        <f>SUM(Table16[[#This Row],[On-site]:[Remote]])</f>
        <v>1</v>
      </c>
    </row>
    <row r="88" spans="1:7" x14ac:dyDescent="0.2">
      <c r="A88" t="s">
        <v>290</v>
      </c>
      <c r="B88" s="13">
        <v>0.25</v>
      </c>
      <c r="C88" s="13">
        <v>0.6</v>
      </c>
      <c r="D88" s="13">
        <v>0.15</v>
      </c>
      <c r="E88" s="17">
        <f>SUM(Table16[[#This Row],[On-site]:[Remote]])</f>
        <v>1</v>
      </c>
    </row>
    <row r="89" spans="1:7" x14ac:dyDescent="0.2">
      <c r="A89" t="s">
        <v>291</v>
      </c>
      <c r="B89" s="13">
        <v>0.1</v>
      </c>
      <c r="C89" s="13">
        <v>0.45</v>
      </c>
      <c r="D89" s="13">
        <v>0.45</v>
      </c>
      <c r="E89" s="17">
        <f>SUM(Table16[[#This Row],[On-site]:[Remote]])</f>
        <v>1</v>
      </c>
    </row>
    <row r="91" spans="1:7" x14ac:dyDescent="0.2">
      <c r="A91" s="3" t="s">
        <v>340</v>
      </c>
    </row>
    <row r="92" spans="1:7" x14ac:dyDescent="0.2">
      <c r="A92" t="s">
        <v>341</v>
      </c>
      <c r="B92" t="s">
        <v>342</v>
      </c>
      <c r="C92" t="s">
        <v>295</v>
      </c>
      <c r="D92" t="s">
        <v>296</v>
      </c>
      <c r="E92" t="s">
        <v>297</v>
      </c>
      <c r="F92" t="s">
        <v>343</v>
      </c>
      <c r="G92" t="s">
        <v>41</v>
      </c>
    </row>
    <row r="93" spans="1:7" x14ac:dyDescent="0.2">
      <c r="A93" t="s">
        <v>344</v>
      </c>
      <c r="B93" s="13">
        <v>0.3</v>
      </c>
      <c r="C93" s="13">
        <v>0.4</v>
      </c>
      <c r="D93" s="13">
        <v>0.18</v>
      </c>
      <c r="E93" s="13">
        <v>0.09</v>
      </c>
      <c r="F93" s="13">
        <v>0.03</v>
      </c>
      <c r="G93" s="13">
        <f>SUM(Table17[[#This Row],[Entry]:[Director+]])</f>
        <v>0.99999999999999989</v>
      </c>
    </row>
    <row r="94" spans="1:7" x14ac:dyDescent="0.2">
      <c r="A94" t="s">
        <v>282</v>
      </c>
      <c r="B94" s="13">
        <v>0.15</v>
      </c>
      <c r="C94" s="13">
        <v>0.45</v>
      </c>
      <c r="D94" s="13">
        <v>0.25</v>
      </c>
      <c r="E94" s="13">
        <v>0.11</v>
      </c>
      <c r="F94" s="13">
        <v>0.04</v>
      </c>
      <c r="G94" s="13">
        <f>SUM(Table17[[#This Row],[Entry]:[Director+]])</f>
        <v>1</v>
      </c>
    </row>
    <row r="95" spans="1:7" x14ac:dyDescent="0.2">
      <c r="A95" t="s">
        <v>350</v>
      </c>
      <c r="B95" s="13">
        <v>0.08</v>
      </c>
      <c r="C95" s="13">
        <v>0.42</v>
      </c>
      <c r="D95" s="13">
        <v>0.32</v>
      </c>
      <c r="E95" s="13">
        <v>0.13</v>
      </c>
      <c r="F95" s="13">
        <v>0.05</v>
      </c>
      <c r="G95" s="13">
        <f>SUM(Table17[[#This Row],[Entry]:[Director+]])</f>
        <v>1</v>
      </c>
    </row>
    <row r="96" spans="1:7" x14ac:dyDescent="0.2">
      <c r="A96" t="s">
        <v>345</v>
      </c>
      <c r="B96" s="13">
        <v>0.1</v>
      </c>
      <c r="C96" s="13">
        <v>0.45</v>
      </c>
      <c r="D96" s="13">
        <v>0.28000000000000003</v>
      </c>
      <c r="E96" s="13">
        <v>0.12</v>
      </c>
      <c r="F96" s="13">
        <v>0.05</v>
      </c>
      <c r="G96" s="13">
        <f>SUM(Table17[[#This Row],[Entry]:[Director+]])</f>
        <v>1</v>
      </c>
    </row>
    <row r="97" spans="1:7" x14ac:dyDescent="0.2">
      <c r="A97" t="s">
        <v>291</v>
      </c>
      <c r="B97" s="13">
        <v>0.15</v>
      </c>
      <c r="C97" s="13">
        <v>0.4</v>
      </c>
      <c r="D97" s="13">
        <v>0.25</v>
      </c>
      <c r="E97" s="13">
        <v>0.14000000000000001</v>
      </c>
      <c r="F97" s="13">
        <v>0.06</v>
      </c>
      <c r="G97" s="13">
        <f>SUM(Table17[[#This Row],[Entry]:[Director+]])</f>
        <v>1</v>
      </c>
    </row>
  </sheetData>
  <phoneticPr fontId="5" type="noConversion"/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6CEC-1DA9-FF4C-A939-98CFD78E37BE}">
  <dimension ref="A1:E18"/>
  <sheetViews>
    <sheetView tabSelected="1" zoomScale="130" zoomScaleNormal="130" workbookViewId="0">
      <selection activeCell="D6" sqref="D6"/>
    </sheetView>
  </sheetViews>
  <sheetFormatPr baseColWidth="10" defaultRowHeight="16" x14ac:dyDescent="0.2"/>
  <cols>
    <col min="1" max="1" width="9" customWidth="1"/>
    <col min="2" max="2" width="7.6640625" bestFit="1" customWidth="1"/>
    <col min="3" max="3" width="18.5" bestFit="1" customWidth="1"/>
    <col min="4" max="4" width="26.33203125" bestFit="1" customWidth="1"/>
    <col min="5" max="5" width="42.5" bestFit="1" customWidth="1"/>
  </cols>
  <sheetData>
    <row r="1" spans="1:5" ht="17" x14ac:dyDescent="0.2">
      <c r="A1" t="s">
        <v>117</v>
      </c>
      <c r="B1" t="s">
        <v>118</v>
      </c>
      <c r="C1" t="s">
        <v>119</v>
      </c>
      <c r="D1" s="2" t="s">
        <v>120</v>
      </c>
      <c r="E1" s="2" t="s">
        <v>121</v>
      </c>
    </row>
    <row r="2" spans="1:5" ht="17" x14ac:dyDescent="0.2">
      <c r="A2">
        <v>0.1</v>
      </c>
      <c r="B2" s="6">
        <v>46240</v>
      </c>
      <c r="C2" t="s">
        <v>122</v>
      </c>
      <c r="D2" s="2" t="s">
        <v>123</v>
      </c>
      <c r="E2" s="2" t="s">
        <v>136</v>
      </c>
    </row>
    <row r="3" spans="1:5" ht="17" x14ac:dyDescent="0.2">
      <c r="A3">
        <v>0.2</v>
      </c>
      <c r="B3" s="6">
        <v>46240</v>
      </c>
      <c r="C3" t="s">
        <v>62</v>
      </c>
      <c r="D3" s="2" t="s">
        <v>124</v>
      </c>
      <c r="E3" s="2" t="s">
        <v>125</v>
      </c>
    </row>
    <row r="4" spans="1:5" ht="34" x14ac:dyDescent="0.2">
      <c r="A4">
        <v>0.3</v>
      </c>
      <c r="B4" s="6">
        <v>46240</v>
      </c>
      <c r="C4" t="s">
        <v>267</v>
      </c>
      <c r="D4" s="2" t="s">
        <v>268</v>
      </c>
      <c r="E4" s="2" t="s">
        <v>269</v>
      </c>
    </row>
    <row r="5" spans="1:5" ht="34" x14ac:dyDescent="0.2">
      <c r="A5">
        <v>0.4</v>
      </c>
      <c r="B5" s="6">
        <v>46243</v>
      </c>
      <c r="C5" t="s">
        <v>270</v>
      </c>
      <c r="D5" s="2" t="s">
        <v>353</v>
      </c>
      <c r="E5" s="2" t="s">
        <v>271</v>
      </c>
    </row>
    <row r="6" spans="1:5" ht="68" x14ac:dyDescent="0.2">
      <c r="A6">
        <v>0.5</v>
      </c>
      <c r="B6" s="6">
        <v>46243</v>
      </c>
      <c r="C6" t="s">
        <v>270</v>
      </c>
      <c r="D6" s="2" t="s">
        <v>272</v>
      </c>
      <c r="E6" s="2" t="s">
        <v>273</v>
      </c>
    </row>
    <row r="7" spans="1:5" ht="51" x14ac:dyDescent="0.2">
      <c r="A7">
        <v>0.6</v>
      </c>
      <c r="B7" s="6">
        <v>46243</v>
      </c>
      <c r="C7" t="s">
        <v>274</v>
      </c>
      <c r="D7" s="2" t="s">
        <v>275</v>
      </c>
      <c r="E7" s="2" t="s">
        <v>276</v>
      </c>
    </row>
    <row r="8" spans="1:5" ht="85" x14ac:dyDescent="0.2">
      <c r="A8">
        <v>0.7</v>
      </c>
      <c r="B8" s="6">
        <v>46243</v>
      </c>
      <c r="C8" t="s">
        <v>274</v>
      </c>
      <c r="D8" s="2" t="s">
        <v>351</v>
      </c>
      <c r="E8" s="2" t="s">
        <v>352</v>
      </c>
    </row>
    <row r="9" spans="1:5" x14ac:dyDescent="0.2">
      <c r="B9" s="6"/>
      <c r="D9" s="2"/>
      <c r="E9" s="2"/>
    </row>
    <row r="10" spans="1:5" x14ac:dyDescent="0.2">
      <c r="B10" s="6"/>
      <c r="D10" s="2"/>
      <c r="E10" s="2"/>
    </row>
    <row r="11" spans="1:5" x14ac:dyDescent="0.2">
      <c r="B11" s="6"/>
      <c r="D11" s="2"/>
      <c r="E11" s="2"/>
    </row>
    <row r="12" spans="1:5" x14ac:dyDescent="0.2">
      <c r="B12" s="6"/>
      <c r="D12" s="2"/>
      <c r="E12" s="2"/>
    </row>
    <row r="13" spans="1:5" x14ac:dyDescent="0.2">
      <c r="B13" s="6"/>
      <c r="D13" s="2"/>
      <c r="E13" s="2"/>
    </row>
    <row r="14" spans="1:5" x14ac:dyDescent="0.2">
      <c r="B14" s="6"/>
      <c r="D14" s="2"/>
      <c r="E14" s="2"/>
    </row>
    <row r="15" spans="1:5" x14ac:dyDescent="0.2">
      <c r="B15" s="6"/>
      <c r="D15" s="2"/>
      <c r="E15" s="2"/>
    </row>
    <row r="16" spans="1:5" x14ac:dyDescent="0.2">
      <c r="B16" s="6"/>
      <c r="D16" s="2"/>
      <c r="E16" s="2"/>
    </row>
    <row r="17" spans="2:5" x14ac:dyDescent="0.2">
      <c r="B17" s="6"/>
      <c r="D17" s="2"/>
      <c r="E17" s="2"/>
    </row>
    <row r="18" spans="2:5" x14ac:dyDescent="0.2">
      <c r="B18" s="6"/>
      <c r="D18" s="2"/>
      <c r="E1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Construct_Item_Map</vt:lpstr>
      <vt:lpstr>Data_Dictionary</vt:lpstr>
      <vt:lpstr>Response_Scales</vt:lpstr>
      <vt:lpstr>Population_Spec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Chinyere Ugwuanyi</dc:creator>
  <cp:lastModifiedBy>Chinyere Ugwuanyi</cp:lastModifiedBy>
  <dcterms:created xsi:type="dcterms:W3CDTF">2026-08-06T20:11:52Z</dcterms:created>
  <dcterms:modified xsi:type="dcterms:W3CDTF">2026-08-09T20:06:45Z</dcterms:modified>
</cp:coreProperties>
</file>